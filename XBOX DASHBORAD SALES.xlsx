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ago Lacerda\Downloads\"/>
    </mc:Choice>
  </mc:AlternateContent>
  <xr:revisionPtr revIDLastSave="0" documentId="13_ncr:1_{CDDD1858-7861-4193-9BB6-04AF615B6F3F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Meses__Start_Date">#N/A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<sst xmlns="http://schemas.openxmlformats.org/spreadsheetml/2006/main" count="1910" uniqueCount="357">
  <si>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</si>
  <si>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</si>
  <si>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</si>
  <si>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</si>
  <si>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</si>
  <si>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</si>
  <si>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</si>
  <si>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</si>
  <si>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</si>
  <si>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</si>
  <si>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</si>
  <si>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</si>
  <si>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</si>
  <si>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</si>
  <si>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</si>
  <si>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</si>
  <si>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</si>
  <si>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</si>
  <si>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</si>
  <si>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</si>
  <si>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</si>
  <si>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</si>
  <si>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</si>
  <si>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</si>
  <si>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</si>
  <si>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</si>
  <si>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</si>
  <si>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</si>
  <si>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</si>
  <si>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</si>
  <si>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</si>
  <si>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</si>
  <si>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</si>
  <si>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</si>
  <si>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</si>
  <si>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</si>
  <si>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</si>
  <si>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</si>
  <si>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</si>
  <si>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</si>
  <si>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</si>
  <si>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</si>
  <si>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</si>
  <si>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</si>
  <si>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</si>
  <si>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</si>
  <si>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</si>
  <si>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</si>
  <si>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</si>
  <si>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</si>
  <si>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</si>
  <si>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</si>
  <si>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</si>
  <si>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</si>
  <si>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</si>
  <si>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</si>
  <si>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</si>
  <si>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</si>
  <si>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</si>
  <si>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</si>
  <si>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</si>
  <si>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</si>
  <si>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</si>
  <si>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</si>
  <si>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</si>
  <si>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</si>
  <si>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</si>
  <si>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</si>
  <si>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</si>
  <si>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</si>
  <si>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</si>
  <si>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</si>
  <si>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</si>
  <si>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</si>
  <si>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</si>
  <si>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</si>
  <si>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</si>
  <si>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</si>
  <si>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</si>
  <si>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</si>
  <si>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</si>
  <si>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</si>
  <si>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</si>
  <si>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</si>
  <si>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</si>
  <si>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</si>
  <si>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</si>
  <si>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</si>
  <si>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</si>
  <si>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</si>
  <si>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</si>
  <si>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</si>
  <si>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</si>
  <si>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</si>
  <si>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</si>
  <si>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</si>
  <si>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</si>
  <si>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</si>
  <si>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</si>
  <si>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</si>
  <si>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</si>
  <si>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</si>
  <si>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</si>
  <si>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</si>
  <si>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</si>
  <si>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</si>
  <si>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</si>
  <si>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</si>
  <si>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</si>
  <si>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</si>
  <si>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</si>
  <si>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</si>
  <si>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</si>
  <si>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</si>
  <si>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</si>
  <si>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</si>
  <si>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</si>
  <si>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</si>
  <si>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</si>
  <si>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</si>
  <si>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</si>
  <si>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</si>
  <si>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</si>
  <si>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</si>
  <si>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</si>
  <si>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</si>
  <si>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</si>
  <si>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</si>
  <si>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</si>
  <si>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</si>
  <si>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</si>
  <si>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</si>
  <si>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</si>
  <si>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</si>
  <si>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</si>
  <si>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</si>
  <si>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</si>
  <si>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</si>
  <si>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</si>
  <si>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</si>
  <si>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</si>
  <si>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</si>
  <si>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</si>
  <si>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</si>
  <si>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</si>
  <si>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</si>
  <si>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</si>
  <si>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</si>
  <si>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</si>
  <si>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</si>
  <si>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</si>
  <si>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</si>
  <si>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</si>
  <si>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</si>
  <si>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</si>
  <si>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</si>
  <si>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</si>
  <si>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</si>
  <si>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</si>
  <si>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</si>
  <si>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</si>
  <si>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</si>
  <si>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</si>
  <si>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</si>
  <si>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</si>
  <si>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</si>
  <si>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</si>
  <si>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</si>
  <si>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</si>
  <si>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</si>
  <si>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</si>
  <si>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</si>
  <si>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</si>
  <si>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</si>
  <si>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</si>
  <si>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</si>
  <si>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</si>
  <si>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</si>
  <si>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</si>
  <si>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</si>
  <si>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</si>
  <si>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</si>
  <si>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</si>
  <si>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</si>
  <si>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</si>
  <si>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</si>
  <si>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</si>
  <si>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</si>
  <si>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</si>
  <si>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</si>
  <si>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</si>
  <si>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</si>
  <si>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</si>
  <si>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</si>
  <si>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</si>
  <si>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</si>
  <si>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</si>
  <si>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</si>
  <si>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</si>
  <si>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</si>
  <si>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</si>
  <si>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</si>
  <si>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</si>
  <si>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</si>
  <si>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</si>
  <si>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</si>
  <si>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</si>
  <si>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</si>
  <si>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</si>
  <si>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</si>
  <si>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</si>
  <si>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</si>
  <si>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</si>
  <si>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</si>
  <si>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</si>
  <si>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</si>
  <si>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</si>
  <si>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</si>
  <si>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</si>
  <si>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</si>
  <si>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</si>
  <si>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</si>
  <si>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</si>
  <si>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</si>
  <si>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</si>
  <si>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</si>
  <si>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</si>
  <si>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</si>
  <si>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</si>
  <si>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</si>
  <si>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</si>
  <si>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</si>
  <si>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</si>
  <si>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</si>
  <si>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</si>
  <si>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</si>
  <si>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</si>
  <si>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</si>
  <si>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</si>
  <si>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</si>
  <si>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</si>
  <si>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</si>
  <si>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</si>
  <si>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</si>
  <si>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</si>
  <si>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</si>
  <si>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</si>
  <si>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</si>
  <si>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</si>
  <si>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</si>
  <si>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</si>
  <si>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</si>
  <si>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</si>
  <si>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</si>
  <si>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</si>
  <si>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</si>
  <si>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</si>
  <si>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</si>
  <si>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</si>
  <si>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</si>
  <si>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</si>
  <si>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</si>
  <si>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</si>
  <si>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</si>
  <si>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</si>
  <si>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</si>
  <si>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</si>
  <si>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</si>
  <si>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</si>
  <si>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</si>
  <si>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</si>
  <si>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</si>
  <si>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</si>
  <si>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</si>
  <si>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</si>
  <si>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</si>
  <si>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</si>
  <si>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</si>
  <si>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</si>
  <si>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</si>
  <si>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</si>
  <si>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</si>
  <si>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</si>
  <si>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</si>
  <si>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</si>
  <si>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</si>
  <si>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</si>
  <si>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</si>
  <si>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</si>
  <si>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</si>
  <si>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</si>
  <si>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</si>
  <si>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</si>
  <si>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</si>
  <si>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</si>
  <si>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</si>
  <si>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</si>
  <si>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</si>
  <si>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</si>
  <si>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</si>
  <si>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</si>
  <si>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</si>
  <si>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</si>
  <si>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</si>
  <si>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</si>
  <si>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</si>
  <si>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</si>
  <si>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</si>
  <si>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</si>
  <si>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</si>
  <si>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</si>
  <si>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</si>
  <si>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Quantos assinantes temos, qual a receita total e o ticket médio?</t>
  </si>
  <si>
    <t>Qual a distribuição de assinantes por plano?</t>
  </si>
  <si>
    <t>Rótulos de Coluna</t>
  </si>
  <si>
    <t>Total Geral</t>
  </si>
  <si>
    <t>Contagem de Subscriber ID</t>
  </si>
  <si>
    <t>Soma de Total Value</t>
  </si>
  <si>
    <t>Média de Total Value2</t>
  </si>
  <si>
    <t>Rótulos de Linha</t>
  </si>
  <si>
    <t>Qual plano gera mais receita e qual tem o maior ticket médio?</t>
  </si>
  <si>
    <t>Como se distribuem Monthly, Quarterly e Annual, no total e dentro de cada plano?</t>
  </si>
  <si>
    <t>Qual o percentual de assinantes com renovação automática, por plano e por tipo? Quem renova gasta mais?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</si>
  <si>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</si>
  <si>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</si>
  <si>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</si>
  <si>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</si>
  <si>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</si>
  <si>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</si>
  <si>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</si>
  <si>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</si>
  <si>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</si>
  <si>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</si>
  <si>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</si>
  <si>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</si>
  <si>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Média de Total Value</t>
  </si>
  <si>
    <t>KPIs Gerais</t>
  </si>
  <si>
    <t>Assinantes por Plano</t>
  </si>
  <si>
    <t>Peridiocidade por Plano</t>
  </si>
  <si>
    <t>Receita por Ticket e por plano</t>
  </si>
  <si>
    <t>Renovação por Plano</t>
  </si>
  <si>
    <t>Renovação por Tipo</t>
  </si>
  <si>
    <t>Gasto e Quem Renova</t>
  </si>
  <si>
    <t>Adesão ao EA Play</t>
  </si>
  <si>
    <t>Adesão ao Minecraft</t>
  </si>
  <si>
    <t>Cupons por Plano</t>
  </si>
  <si>
    <t>Novas Assinaturas Por Mês</t>
  </si>
  <si>
    <t>Qual a adesão ao EA Play e ao Minecraft por plano?</t>
  </si>
  <si>
    <t xml:space="preserve">	Qual o valor total e médio de cupom por plano?</t>
  </si>
  <si>
    <t>Quantas novas assinaturas entram por mês?</t>
  </si>
  <si>
    <t>Receita total</t>
  </si>
  <si>
    <t>Ticket Médio</t>
  </si>
  <si>
    <t>Sim</t>
  </si>
  <si>
    <t>Não</t>
  </si>
  <si>
    <t>Valor médio</t>
  </si>
  <si>
    <t>Valor Total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</si>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</sst>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left" vertical="center" indent="6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name val="Segoe UI"/>
        <family val="2"/>
        <scheme val="none"/>
      </font>
      <fill>
        <patternFill>
          <fgColor rgb="FF5BF6A8"/>
        </patternFill>
      </fill>
    </dxf>
  </dxfs>
  <tableStyles count="1" defaultTableStyle="TableStyleMedium2" defaultPivotStyle="PivotStyleLight16">
    <tableStyle name="Estilo de Segmentação de Dados 1" pivot="0" table="0" count="1" xr9:uid="{313D1A0E-F0DC-4566-8617-365A74C3CC16}">
      <tableStyleElement type="wholeTable" dxfId="27"/>
    </tableStyle>
  </tableStyles>
  <colors>
    <mruColors>
      <color rgb="FF22C55E"/>
      <color rgb="FF5BF6A8"/>
      <color rgb="FF9BC848"/>
      <color rgb="FFE8E6E9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latin typeface="Segoe UI" panose="020B0502040204020203" pitchFamily="34" charset="0"/>
                <a:cs typeface="Segoe UI" panose="020B0502040204020203" pitchFamily="34" charset="0"/>
              </a:rPr>
              <a:t>Assinantes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E-49BA-99C8-0DCD04EC792A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E-49BA-99C8-0DCD04EC792A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AE-49BA-99C8-0DCD04EC792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C̳álculos!$C$8:$C$11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C̳álculos!$D$8:$D$11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AE-49BA-99C8-0DCD04EC7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200" baseline="0">
                <a:latin typeface="Segoe UI" panose="020B0502040204020203" pitchFamily="34" charset="0"/>
                <a:cs typeface="Segoe UI" panose="020B0502040204020203" pitchFamily="34" charset="0"/>
              </a:rPr>
              <a:t> e Ticket Médio Por Plano</a:t>
            </a:r>
            <a:endParaRPr lang="pt-BR" sz="12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9BC84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C̳álculos!$D$14</c:f>
              <c:strCache>
                <c:ptCount val="1"/>
                <c:pt idx="0">
                  <c:v>Receita 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C̳álculos!$C$15:$C$18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C̳álculos!$D$15:$D$18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7-4AFC-B407-42587914A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07024"/>
        <c:axId val="57606544"/>
      </c:barChart>
      <c:lineChart>
        <c:grouping val="standard"/>
        <c:varyColors val="0"/>
        <c:ser>
          <c:idx val="1"/>
          <c:order val="1"/>
          <c:tx>
            <c:strRef>
              <c:f>C̳álculos!$E$14</c:f>
              <c:strCache>
                <c:ptCount val="1"/>
                <c:pt idx="0">
                  <c:v>Ticket Médio</c:v>
                </c:pt>
              </c:strCache>
            </c:strRef>
          </c:tx>
          <c:spPr>
            <a:ln w="28575" cap="rnd">
              <a:solidFill>
                <a:srgbClr val="9BC848"/>
              </a:solidFill>
              <a:round/>
            </a:ln>
            <a:effectLst/>
          </c:spPr>
          <c:marker>
            <c:symbol val="none"/>
          </c:marker>
          <c:cat>
            <c:strRef>
              <c:f>C̳álculos!$C$15:$C$18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C̳álculos!$E$15:$E$18</c:f>
              <c:numCache>
                <c:formatCode>"R$"\ #,##0.00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47-4AFC-B407-42587914A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07984"/>
        <c:axId val="57608464"/>
      </c:lineChart>
      <c:catAx>
        <c:axId val="5760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7606544"/>
        <c:crosses val="autoZero"/>
        <c:auto val="1"/>
        <c:lblAlgn val="ctr"/>
        <c:lblOffset val="100"/>
        <c:noMultiLvlLbl val="0"/>
      </c:catAx>
      <c:valAx>
        <c:axId val="57606544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7607024"/>
        <c:crosses val="autoZero"/>
        <c:crossBetween val="between"/>
      </c:valAx>
      <c:valAx>
        <c:axId val="57608464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7607984"/>
        <c:crosses val="max"/>
        <c:crossBetween val="between"/>
      </c:valAx>
      <c:catAx>
        <c:axId val="57607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608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Distribuição por Assinatura</a:t>
            </a:r>
            <a:r>
              <a:rPr lang="pt-BR" sz="1200" baseline="0">
                <a:latin typeface="Segoe UI" panose="020B0502040204020203" pitchFamily="34" charset="0"/>
                <a:cs typeface="Segoe UI" panose="020B0502040204020203" pitchFamily="34" charset="0"/>
              </a:rPr>
              <a:t> de Cada Plano </a:t>
            </a:r>
            <a:endParaRPr lang="pt-BR" sz="12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C̳álculos!$D$21:$D$22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C̳álculos!$C$23:$C$26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C̳álculos!$D$23:$D$26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9-45DB-9C2A-F0F321501A6D}"/>
            </c:ext>
          </c:extLst>
        </c:ser>
        <c:ser>
          <c:idx val="1"/>
          <c:order val="1"/>
          <c:tx>
            <c:strRef>
              <c:f>C̳álculos!$E$21:$E$22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C̳álculos!$C$23:$C$26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C̳álculos!$E$23:$E$26</c:f>
              <c:numCache>
                <c:formatCode>General</c:formatCode>
                <c:ptCount val="3"/>
                <c:pt idx="0">
                  <c:v>49</c:v>
                </c:pt>
                <c:pt idx="1">
                  <c:v>45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9-45DB-9C2A-F0F321501A6D}"/>
            </c:ext>
          </c:extLst>
        </c:ser>
        <c:ser>
          <c:idx val="2"/>
          <c:order val="2"/>
          <c:tx>
            <c:strRef>
              <c:f>C̳álculos!$F$21:$F$22</c:f>
              <c:strCache>
                <c:ptCount val="1"/>
                <c:pt idx="0">
                  <c:v>Quarterly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C̳álculos!$C$23:$C$26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C̳álculos!$F$23:$F$26</c:f>
              <c:numCache>
                <c:formatCode>General</c:formatCode>
                <c:ptCount val="3"/>
                <c:pt idx="0">
                  <c:v>28</c:v>
                </c:pt>
                <c:pt idx="1">
                  <c:v>24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19-45DB-9C2A-F0F32150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57088"/>
        <c:axId val="62044128"/>
      </c:barChart>
      <c:catAx>
        <c:axId val="620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2044128"/>
        <c:crosses val="autoZero"/>
        <c:auto val="1"/>
        <c:lblAlgn val="ctr"/>
        <c:lblOffset val="100"/>
        <c:noMultiLvlLbl val="0"/>
      </c:catAx>
      <c:valAx>
        <c:axId val="620441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20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Assinantes com 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C̳álculos!$D$29:$D$30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C̳álculos!$C$31:$C$34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C̳álculos!$D$31:$D$34</c:f>
              <c:numCache>
                <c:formatCode>General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D-4CDF-98C9-B8900E91F0C4}"/>
            </c:ext>
          </c:extLst>
        </c:ser>
        <c:ser>
          <c:idx val="1"/>
          <c:order val="1"/>
          <c:tx>
            <c:strRef>
              <c:f>C̳álculos!$E$29:$E$30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C̳álculos!$C$31:$C$34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C̳álculos!$E$31:$E$34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D-4CDF-98C9-B8900E91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90047"/>
        <c:axId val="144460784"/>
      </c:barChart>
      <c:catAx>
        <c:axId val="211549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44460784"/>
        <c:crosses val="autoZero"/>
        <c:auto val="1"/>
        <c:lblAlgn val="ctr"/>
        <c:lblOffset val="100"/>
        <c:noMultiLvlLbl val="0"/>
      </c:catAx>
      <c:valAx>
        <c:axId val="14446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11549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Clientes com Adesão ao EA Play Season Pass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C̳álculos!$D$49:$D$50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C̳álculos!$C$51:$C$54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C̳álculos!$D$51:$D$54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5E-43F2-AFF4-379EACDF1828}"/>
            </c:ext>
          </c:extLst>
        </c:ser>
        <c:ser>
          <c:idx val="1"/>
          <c:order val="1"/>
          <c:tx>
            <c:strRef>
              <c:f>C̳álculos!$E$49:$E$50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C̳álculos!$C$51:$C$54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C̳álculos!$E$51:$E$54</c:f>
              <c:numCache>
                <c:formatCode>General</c:formatCode>
                <c:ptCount val="3"/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5E-43F2-AFF4-379EACDF1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285344"/>
        <c:axId val="1494283904"/>
      </c:barChart>
      <c:catAx>
        <c:axId val="14942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494283904"/>
        <c:crosses val="autoZero"/>
        <c:auto val="1"/>
        <c:lblAlgn val="ctr"/>
        <c:lblOffset val="100"/>
        <c:noMultiLvlLbl val="0"/>
      </c:catAx>
      <c:valAx>
        <c:axId val="149428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4942853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Clientes com Adesão ao Minecraft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C̳álculos!$D$56:$D$57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C̳álculos!$C$58:$C$61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C̳álculos!$D$58:$D$61</c:f>
              <c:numCache>
                <c:formatCode>General</c:formatCode>
                <c:ptCount val="3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0-4C11-9972-1A582F361E23}"/>
            </c:ext>
          </c:extLst>
        </c:ser>
        <c:ser>
          <c:idx val="1"/>
          <c:order val="1"/>
          <c:tx>
            <c:strRef>
              <c:f>C̳álculos!$E$56:$E$57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C̳álculos!$C$58:$C$61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C̳álculos!$E$58:$E$61</c:f>
              <c:numCache>
                <c:formatCode>General</c:formatCode>
                <c:ptCount val="3"/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50-4C11-9972-1A582F361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68560"/>
        <c:axId val="152765680"/>
      </c:barChart>
      <c:catAx>
        <c:axId val="1527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2765680"/>
        <c:crosses val="autoZero"/>
        <c:auto val="1"/>
        <c:lblAlgn val="ctr"/>
        <c:lblOffset val="100"/>
        <c:noMultiLvlLbl val="0"/>
      </c:catAx>
      <c:valAx>
        <c:axId val="15276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276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dinâmica11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Valor total</a:t>
            </a:r>
            <a:r>
              <a:rPr lang="pt-BR" sz="1200" baseline="0">
                <a:latin typeface="Segoe UI" panose="020B0502040204020203" pitchFamily="34" charset="0"/>
                <a:cs typeface="Segoe UI" panose="020B0502040204020203" pitchFamily="34" charset="0"/>
              </a:rPr>
              <a:t> e Médio de Cupons</a:t>
            </a:r>
            <a:endParaRPr lang="pt-BR" sz="12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C̳álculos!$D$64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C̳álculos!$C$65:$C$68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C̳álculos!$D$65:$D$68</c:f>
              <c:numCache>
                <c:formatCode>"R$"\ #,##0.00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0-4B12-9104-2D926E71B3C5}"/>
            </c:ext>
          </c:extLst>
        </c:ser>
        <c:ser>
          <c:idx val="1"/>
          <c:order val="1"/>
          <c:tx>
            <c:strRef>
              <c:f>C̳álculos!$E$64</c:f>
              <c:strCache>
                <c:ptCount val="1"/>
                <c:pt idx="0">
                  <c:v>Valor médio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C̳álculos!$C$65:$C$68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C̳álculos!$E$65:$E$68</c:f>
              <c:numCache>
                <c:formatCode>"R$"\ #,##0.00</c:formatCode>
                <c:ptCount val="3"/>
                <c:pt idx="0">
                  <c:v>0.60396039603960394</c:v>
                </c:pt>
                <c:pt idx="1">
                  <c:v>11.239583333333334</c:v>
                </c:pt>
                <c:pt idx="2">
                  <c:v>10.020408163265307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0-4B12-9104-2D926E71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83840"/>
        <c:axId val="66392992"/>
      </c:barChart>
      <c:catAx>
        <c:axId val="17068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6392992"/>
        <c:crosses val="autoZero"/>
        <c:auto val="1"/>
        <c:lblAlgn val="ctr"/>
        <c:lblOffset val="100"/>
        <c:noMultiLvlLbl val="0"/>
      </c:catAx>
      <c:valAx>
        <c:axId val="6639299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06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DASHBORAD SALES.xlsx]C̳álculos!Tabela dinâmica12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latin typeface="Segoe UI" panose="020B0502040204020203" pitchFamily="34" charset="0"/>
                <a:cs typeface="Segoe UI" panose="020B0502040204020203" pitchFamily="34" charset="0"/>
              </a:rPr>
              <a:t>Quantidade de Assinatura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C̳álculos!$D$71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cat>
            <c:strRef>
              <c:f>C̳álculos!$C$72:$C$84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C̳álculos!$D$72:$D$84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A-44CD-A5A0-573871EC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221840"/>
        <c:axId val="170681440"/>
      </c:lineChart>
      <c:catAx>
        <c:axId val="15612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0681440"/>
        <c:crosses val="autoZero"/>
        <c:auto val="1"/>
        <c:lblAlgn val="ctr"/>
        <c:lblOffset val="100"/>
        <c:noMultiLvlLbl val="0"/>
      </c:catAx>
      <c:valAx>
        <c:axId val="17068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6122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158121</xdr:colOff>
      <xdr:row>6</xdr:row>
      <xdr:rowOff>56212</xdr:rowOff>
    </xdr:from>
    <xdr:to>
      <xdr:col>4</xdr:col>
      <xdr:colOff>191891</xdr:colOff>
      <xdr:row>9</xdr:row>
      <xdr:rowOff>77860</xdr:rowOff>
    </xdr:to>
    <xdr:sp macro="" textlink="C̳álculos!C4">
      <xdr:nvSpPr>
        <xdr:cNvPr id="4" name="Retângulo: Cantos Arredondados 3">
          <a:extLst>
            <a:ext uri="{FF2B5EF4-FFF2-40B4-BE49-F238E27FC236}">
              <a16:creationId xmlns:a16="http://schemas.microsoft.com/office/drawing/2014/main" id="{140E9B10-69EE-42CA-9603-A2986B7B4067}"/>
            </a:ext>
          </a:extLst>
        </xdr:cNvPr>
        <xdr:cNvSpPr/>
      </xdr:nvSpPr>
      <xdr:spPr>
        <a:xfrm>
          <a:off x="2282196" y="1170637"/>
          <a:ext cx="1491095" cy="755073"/>
        </a:xfrm>
        <a:prstGeom prst="round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6033264-33A5-42D1-B34C-D2C517EC3133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295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</xdr:col>
      <xdr:colOff>158121</xdr:colOff>
      <xdr:row>4</xdr:row>
      <xdr:rowOff>58809</xdr:rowOff>
    </xdr:from>
    <xdr:to>
      <xdr:col>4</xdr:col>
      <xdr:colOff>189073</xdr:colOff>
      <xdr:row>7</xdr:row>
      <xdr:rowOff>67396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8A436CF2-364B-4BF1-B2DD-39D0FA27F13D}"/>
            </a:ext>
          </a:extLst>
        </xdr:cNvPr>
        <xdr:cNvSpPr/>
      </xdr:nvSpPr>
      <xdr:spPr>
        <a:xfrm>
          <a:off x="2282196" y="944634"/>
          <a:ext cx="1488277" cy="36101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5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05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Assinantes</a:t>
          </a:r>
          <a:endParaRPr lang="pt-BR" sz="105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508550</xdr:colOff>
      <xdr:row>6</xdr:row>
      <xdr:rowOff>59525</xdr:rowOff>
    </xdr:from>
    <xdr:to>
      <xdr:col>7</xdr:col>
      <xdr:colOff>178638</xdr:colOff>
      <xdr:row>9</xdr:row>
      <xdr:rowOff>81173</xdr:rowOff>
    </xdr:to>
    <xdr:sp macro="" textlink="C̳álculos!D4">
      <xdr:nvSpPr>
        <xdr:cNvPr id="6" name="Retângulo: Cantos Arredondados 5">
          <a:extLst>
            <a:ext uri="{FF2B5EF4-FFF2-40B4-BE49-F238E27FC236}">
              <a16:creationId xmlns:a16="http://schemas.microsoft.com/office/drawing/2014/main" id="{B47EE569-EDC2-41CC-98CD-59071BA713FF}"/>
            </a:ext>
          </a:extLst>
        </xdr:cNvPr>
        <xdr:cNvSpPr/>
      </xdr:nvSpPr>
      <xdr:spPr>
        <a:xfrm>
          <a:off x="4089950" y="1173950"/>
          <a:ext cx="1498888" cy="755073"/>
        </a:xfrm>
        <a:prstGeom prst="round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CA2BBDD-74EA-48A7-8E28-20C0F931F78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R$ 7.633,00</a:t>
          </a:fld>
          <a:endParaRPr lang="pt-BR" sz="2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508550</xdr:colOff>
      <xdr:row>4</xdr:row>
      <xdr:rowOff>62122</xdr:rowOff>
    </xdr:from>
    <xdr:to>
      <xdr:col>7</xdr:col>
      <xdr:colOff>175820</xdr:colOff>
      <xdr:row>7</xdr:row>
      <xdr:rowOff>70709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0000EEBC-1822-4631-8B5C-552EA8EC9B2A}"/>
            </a:ext>
          </a:extLst>
        </xdr:cNvPr>
        <xdr:cNvSpPr/>
      </xdr:nvSpPr>
      <xdr:spPr>
        <a:xfrm>
          <a:off x="4089950" y="947947"/>
          <a:ext cx="1496070" cy="36101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</a:t>
          </a:r>
          <a:r>
            <a:rPr lang="pt-BR" sz="110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Total</a:t>
          </a:r>
          <a:endParaRPr lang="pt-BR" sz="11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452377</xdr:colOff>
      <xdr:row>6</xdr:row>
      <xdr:rowOff>46273</xdr:rowOff>
    </xdr:from>
    <xdr:to>
      <xdr:col>10</xdr:col>
      <xdr:colOff>115689</xdr:colOff>
      <xdr:row>9</xdr:row>
      <xdr:rowOff>67921</xdr:rowOff>
    </xdr:to>
    <xdr:sp macro="" textlink="C̳álculos!E4">
      <xdr:nvSpPr>
        <xdr:cNvPr id="8" name="Retângulo: Cantos Arredondados 7">
          <a:extLst>
            <a:ext uri="{FF2B5EF4-FFF2-40B4-BE49-F238E27FC236}">
              <a16:creationId xmlns:a16="http://schemas.microsoft.com/office/drawing/2014/main" id="{15BF748A-6EA8-45EF-9CA6-492EF3AE8862}"/>
            </a:ext>
          </a:extLst>
        </xdr:cNvPr>
        <xdr:cNvSpPr/>
      </xdr:nvSpPr>
      <xdr:spPr>
        <a:xfrm>
          <a:off x="5862577" y="1160698"/>
          <a:ext cx="1492112" cy="755073"/>
        </a:xfrm>
        <a:prstGeom prst="round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FEB1D80-DE3C-47FF-978F-251164D9E8FE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R$ 25,87</a:t>
          </a:fld>
          <a:endParaRPr lang="pt-BR" sz="2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7</xdr:col>
      <xdr:colOff>452377</xdr:colOff>
      <xdr:row>4</xdr:row>
      <xdr:rowOff>48870</xdr:rowOff>
    </xdr:from>
    <xdr:to>
      <xdr:col>10</xdr:col>
      <xdr:colOff>112871</xdr:colOff>
      <xdr:row>7</xdr:row>
      <xdr:rowOff>57457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5FED2D50-5712-4B80-BFA4-BB7D494AD094}"/>
            </a:ext>
          </a:extLst>
        </xdr:cNvPr>
        <xdr:cNvSpPr/>
      </xdr:nvSpPr>
      <xdr:spPr>
        <a:xfrm>
          <a:off x="5862577" y="934695"/>
          <a:ext cx="1489294" cy="36101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Ticket</a:t>
          </a:r>
          <a:r>
            <a:rPr lang="pt-BR" sz="110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Médio</a:t>
          </a:r>
          <a:endParaRPr lang="pt-BR" sz="11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157708</xdr:colOff>
      <xdr:row>10</xdr:row>
      <xdr:rowOff>37648</xdr:rowOff>
    </xdr:from>
    <xdr:to>
      <xdr:col>10</xdr:col>
      <xdr:colOff>114035</xdr:colOff>
      <xdr:row>22</xdr:row>
      <xdr:rowOff>142875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E69E7B2-2A92-4E60-8145-B4D1A69C6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304534</xdr:colOff>
      <xdr:row>4</xdr:row>
      <xdr:rowOff>41788</xdr:rowOff>
    </xdr:from>
    <xdr:to>
      <xdr:col>18</xdr:col>
      <xdr:colOff>599395</xdr:colOff>
      <xdr:row>13</xdr:row>
      <xdr:rowOff>109980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CC1AFD2-E307-4DA9-B513-2E6866FC9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288346</xdr:colOff>
      <xdr:row>14</xdr:row>
      <xdr:rowOff>24247</xdr:rowOff>
    </xdr:from>
    <xdr:to>
      <xdr:col>18</xdr:col>
      <xdr:colOff>603537</xdr:colOff>
      <xdr:row>22</xdr:row>
      <xdr:rowOff>130225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22875D9-0475-42CC-806A-B35222E8F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141141</xdr:colOff>
      <xdr:row>23</xdr:row>
      <xdr:rowOff>98713</xdr:rowOff>
    </xdr:from>
    <xdr:to>
      <xdr:col>10</xdr:col>
      <xdr:colOff>106505</xdr:colOff>
      <xdr:row>30</xdr:row>
      <xdr:rowOff>170970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1B3ED47-6183-4014-929B-6F762C94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10</xdr:col>
      <xdr:colOff>288346</xdr:colOff>
      <xdr:row>23</xdr:row>
      <xdr:rowOff>107373</xdr:rowOff>
    </xdr:from>
    <xdr:to>
      <xdr:col>18</xdr:col>
      <xdr:colOff>594878</xdr:colOff>
      <xdr:row>30</xdr:row>
      <xdr:rowOff>173269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2ADC2F0-4847-4C30-B762-D6477CB01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19</xdr:col>
      <xdr:colOff>152400</xdr:colOff>
      <xdr:row>23</xdr:row>
      <xdr:rowOff>104776</xdr:rowOff>
    </xdr:from>
    <xdr:to>
      <xdr:col>26</xdr:col>
      <xdr:colOff>895350</xdr:colOff>
      <xdr:row>30</xdr:row>
      <xdr:rowOff>161926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4F0CDA0-1138-4D94-82CD-0EC73FF06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19</xdr:col>
      <xdr:colOff>133349</xdr:colOff>
      <xdr:row>4</xdr:row>
      <xdr:rowOff>38100</xdr:rowOff>
    </xdr:from>
    <xdr:to>
      <xdr:col>26</xdr:col>
      <xdr:colOff>885824</xdr:colOff>
      <xdr:row>22</xdr:row>
      <xdr:rowOff>142875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616DE67-78D0-47D1-9018-D725375B6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</xdr:col>
      <xdr:colOff>142875</xdr:colOff>
      <xdr:row>31</xdr:row>
      <xdr:rowOff>123824</xdr:rowOff>
    </xdr:from>
    <xdr:to>
      <xdr:col>26</xdr:col>
      <xdr:colOff>876300</xdr:colOff>
      <xdr:row>44</xdr:row>
      <xdr:rowOff>114299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F4B9139-581A-4E3F-ADB4-772FD49C0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85725</xdr:colOff>
      <xdr:row>5</xdr:row>
      <xdr:rowOff>85726</xdr:rowOff>
    </xdr:from>
    <xdr:to>
      <xdr:col>0</xdr:col>
      <xdr:colOff>1914525</xdr:colOff>
      <xdr:row>11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Plan">
              <a:extLst>
                <a:ext uri="{FF2B5EF4-FFF2-40B4-BE49-F238E27FC236}">
                  <a16:creationId xmlns:a16="http://schemas.microsoft.com/office/drawing/2014/main" id="{C65CF5D2-5DBB-42FF-AE44-EFB053D68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1066801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18</xdr:row>
      <xdr:rowOff>180975</xdr:rowOff>
    </xdr:from>
    <xdr:to>
      <xdr:col>0</xdr:col>
      <xdr:colOff>1924050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Auto Renewal">
              <a:extLst>
                <a:ext uri="{FF2B5EF4-FFF2-40B4-BE49-F238E27FC236}">
                  <a16:creationId xmlns:a16="http://schemas.microsoft.com/office/drawing/2014/main" id="{EEB76E0D-BB0F-43F3-B8F7-2F4632602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3743325"/>
              <a:ext cx="18288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11</xdr:row>
      <xdr:rowOff>171450</xdr:rowOff>
    </xdr:from>
    <xdr:to>
      <xdr:col>0</xdr:col>
      <xdr:colOff>1924050</xdr:colOff>
      <xdr:row>18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Subscription Type">
              <a:extLst>
                <a:ext uri="{FF2B5EF4-FFF2-40B4-BE49-F238E27FC236}">
                  <a16:creationId xmlns:a16="http://schemas.microsoft.com/office/drawing/2014/main" id="{C24794B3-8D26-4A94-ADF6-31B2335AF1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400300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0</xdr:col>
      <xdr:colOff>104775</xdr:colOff>
      <xdr:row>24</xdr:row>
      <xdr:rowOff>95249</xdr:rowOff>
    </xdr:from>
    <xdr:ext cx="1828800" cy="3829051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Meses (Start Date)">
              <a:extLst>
                <a:ext uri="{FF2B5EF4-FFF2-40B4-BE49-F238E27FC236}">
                  <a16:creationId xmlns:a16="http://schemas.microsoft.com/office/drawing/2014/main" id="{3DB5EBB5-D846-4909-9C66-3F7F98BC4D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4800599"/>
              <a:ext cx="1828800" cy="3829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200024</xdr:colOff>
      <xdr:row>0</xdr:row>
      <xdr:rowOff>47625</xdr:rowOff>
    </xdr:from>
    <xdr:to>
      <xdr:col>2</xdr:col>
      <xdr:colOff>552450</xdr:colOff>
      <xdr:row>2</xdr:row>
      <xdr:rowOff>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102F954-08A4-4628-910A-089C10F4B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0" t="18636" r="72277" b="18934"/>
        <a:stretch>
          <a:fillRect/>
        </a:stretch>
      </xdr:blipFill>
      <xdr:spPr>
        <a:xfrm>
          <a:off x="2238374" y="47625"/>
          <a:ext cx="590551" cy="638175"/>
        </a:xfrm>
        <a:prstGeom prst="rect">
          <a:avLst/>
        </a:prstGeom>
      </xdr:spPr>
    </xdr:pic>
    <xdr:clientData/>
  </xdr:twoCellAnchor>
  <xdr:twoCellAnchor>
    <xdr:from>
      <xdr:col>0</xdr:col>
      <xdr:colOff>142874</xdr:colOff>
      <xdr:row>0</xdr:row>
      <xdr:rowOff>133350</xdr:rowOff>
    </xdr:from>
    <xdr:to>
      <xdr:col>0</xdr:col>
      <xdr:colOff>838199</xdr:colOff>
      <xdr:row>3</xdr:row>
      <xdr:rowOff>47625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0372D42C-4208-45C6-AB9A-C5E2A7D15B3F}"/>
            </a:ext>
          </a:extLst>
        </xdr:cNvPr>
        <xdr:cNvSpPr/>
      </xdr:nvSpPr>
      <xdr:spPr>
        <a:xfrm>
          <a:off x="142874" y="133350"/>
          <a:ext cx="695325" cy="695325"/>
        </a:xfrm>
        <a:prstGeom prst="ellipse">
          <a:avLst/>
        </a:prstGeom>
        <a:blipFill>
          <a:blip xmlns:r="http://schemas.openxmlformats.org/officeDocument/2006/relationships" r:embed="rId10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847723</xdr:colOff>
      <xdr:row>1</xdr:row>
      <xdr:rowOff>19050</xdr:rowOff>
    </xdr:from>
    <xdr:to>
      <xdr:col>1</xdr:col>
      <xdr:colOff>85724</xdr:colOff>
      <xdr:row>1</xdr:row>
      <xdr:rowOff>304800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855D4F31-3625-BCCA-6014-BBEB980FDD93}"/>
            </a:ext>
          </a:extLst>
        </xdr:cNvPr>
        <xdr:cNvSpPr/>
      </xdr:nvSpPr>
      <xdr:spPr>
        <a:xfrm>
          <a:off x="847723" y="209550"/>
          <a:ext cx="1276351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Seja Bem Vindo</a:t>
          </a:r>
        </a:p>
      </xdr:txBody>
    </xdr:sp>
    <xdr:clientData/>
  </xdr:twoCellAnchor>
  <xdr:twoCellAnchor>
    <xdr:from>
      <xdr:col>0</xdr:col>
      <xdr:colOff>847724</xdr:colOff>
      <xdr:row>1</xdr:row>
      <xdr:rowOff>247650</xdr:rowOff>
    </xdr:from>
    <xdr:to>
      <xdr:col>1</xdr:col>
      <xdr:colOff>133350</xdr:colOff>
      <xdr:row>4</xdr:row>
      <xdr:rowOff>66675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E651FD10-39B5-4A65-925D-C587B8F32317}"/>
            </a:ext>
          </a:extLst>
        </xdr:cNvPr>
        <xdr:cNvSpPr/>
      </xdr:nvSpPr>
      <xdr:spPr>
        <a:xfrm>
          <a:off x="847724" y="438150"/>
          <a:ext cx="1323976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Sr. Ash Ketchum</a:t>
          </a:r>
        </a:p>
      </xdr:txBody>
    </xdr:sp>
    <xdr:clientData/>
  </xdr:twoCellAnchor>
  <xdr:twoCellAnchor editAs="absolute">
    <xdr:from>
      <xdr:col>19</xdr:col>
      <xdr:colOff>314325</xdr:colOff>
      <xdr:row>1</xdr:row>
      <xdr:rowOff>171450</xdr:rowOff>
    </xdr:from>
    <xdr:to>
      <xdr:col>26</xdr:col>
      <xdr:colOff>895351</xdr:colOff>
      <xdr:row>1</xdr:row>
      <xdr:rowOff>400850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9B7E137D-7538-4709-962F-9DE29D62BC64}"/>
            </a:ext>
          </a:extLst>
        </xdr:cNvPr>
        <xdr:cNvSpPr/>
      </xdr:nvSpPr>
      <xdr:spPr>
        <a:xfrm>
          <a:off x="12868275" y="361950"/>
          <a:ext cx="4848226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 Apurado: 01/01/2024 - 31/12/2024 | Data de Atualização: 02/01/2025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Lacerda" refreshedDate="46321.889844560188" createdVersion="8" refreshedVersion="8" minRefreshableVersion="3" recordCount="295" xr:uid="{80351BD5-C0D2-4515-87D3-2D3111A9B3F2}">
  <cacheSource type="worksheet">
    <worksheetSource name="tbl_dados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SemiMixedTypes="0" containsString="0" containsNumber="1" containsInteger="1" minValue="0" maxValue="30"/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387780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x v="0"/>
    <x v="0"/>
    <n v="15"/>
    <x v="0"/>
    <x v="0"/>
    <n v="30"/>
    <x v="0"/>
    <n v="20"/>
    <n v="5"/>
    <n v="60"/>
  </r>
  <r>
    <x v="1"/>
    <s v="Maria Oliveira"/>
    <x v="1"/>
    <x v="1"/>
    <x v="1"/>
    <n v="5"/>
    <x v="1"/>
    <x v="1"/>
    <n v="0"/>
    <x v="1"/>
    <n v="0"/>
    <n v="0"/>
    <n v="5"/>
  </r>
  <r>
    <x v="2"/>
    <s v="Lucas Fernandes"/>
    <x v="2"/>
    <x v="2"/>
    <x v="0"/>
    <n v="10"/>
    <x v="2"/>
    <x v="1"/>
    <n v="0"/>
    <x v="0"/>
    <n v="20"/>
    <n v="10"/>
    <n v="20"/>
  </r>
  <r>
    <x v="3"/>
    <s v="Ana Souza"/>
    <x v="0"/>
    <x v="3"/>
    <x v="1"/>
    <n v="15"/>
    <x v="0"/>
    <x v="0"/>
    <n v="30"/>
    <x v="0"/>
    <n v="20"/>
    <n v="3"/>
    <n v="62"/>
  </r>
  <r>
    <x v="4"/>
    <s v="Pedro Gonçalves"/>
    <x v="1"/>
    <x v="4"/>
    <x v="0"/>
    <n v="5"/>
    <x v="0"/>
    <x v="1"/>
    <n v="0"/>
    <x v="1"/>
    <n v="0"/>
    <n v="1"/>
    <n v="4"/>
  </r>
  <r>
    <x v="5"/>
    <s v="Felipe Costa"/>
    <x v="2"/>
    <x v="5"/>
    <x v="1"/>
    <n v="10"/>
    <x v="0"/>
    <x v="1"/>
    <n v="0"/>
    <x v="0"/>
    <n v="20"/>
    <n v="2"/>
    <n v="28"/>
  </r>
  <r>
    <x v="6"/>
    <s v="Camila Ribeiro"/>
    <x v="0"/>
    <x v="6"/>
    <x v="0"/>
    <n v="15"/>
    <x v="2"/>
    <x v="0"/>
    <n v="30"/>
    <x v="0"/>
    <n v="20"/>
    <n v="10"/>
    <n v="55"/>
  </r>
  <r>
    <x v="7"/>
    <s v="André Mendes"/>
    <x v="1"/>
    <x v="7"/>
    <x v="0"/>
    <n v="5"/>
    <x v="1"/>
    <x v="1"/>
    <n v="0"/>
    <x v="1"/>
    <n v="0"/>
    <n v="0"/>
    <n v="5"/>
  </r>
  <r>
    <x v="8"/>
    <s v="Sofia Almeida"/>
    <x v="0"/>
    <x v="4"/>
    <x v="1"/>
    <n v="15"/>
    <x v="0"/>
    <x v="0"/>
    <n v="30"/>
    <x v="0"/>
    <n v="20"/>
    <n v="5"/>
    <n v="60"/>
  </r>
  <r>
    <x v="9"/>
    <s v="Bruno Martins"/>
    <x v="2"/>
    <x v="8"/>
    <x v="0"/>
    <n v="10"/>
    <x v="2"/>
    <x v="1"/>
    <n v="0"/>
    <x v="0"/>
    <n v="20"/>
    <n v="15"/>
    <n v="15"/>
  </r>
  <r>
    <x v="10"/>
    <s v="Rita Castro"/>
    <x v="1"/>
    <x v="9"/>
    <x v="1"/>
    <n v="5"/>
    <x v="0"/>
    <x v="1"/>
    <n v="0"/>
    <x v="1"/>
    <n v="0"/>
    <n v="1"/>
    <n v="4"/>
  </r>
  <r>
    <x v="11"/>
    <s v="Marco Túlio"/>
    <x v="0"/>
    <x v="10"/>
    <x v="0"/>
    <n v="15"/>
    <x v="1"/>
    <x v="0"/>
    <n v="30"/>
    <x v="0"/>
    <n v="20"/>
    <n v="20"/>
    <n v="45"/>
  </r>
  <r>
    <x v="12"/>
    <s v="Lívia Silveira"/>
    <x v="2"/>
    <x v="11"/>
    <x v="1"/>
    <n v="10"/>
    <x v="0"/>
    <x v="1"/>
    <n v="0"/>
    <x v="0"/>
    <n v="20"/>
    <n v="10"/>
    <n v="20"/>
  </r>
  <r>
    <x v="13"/>
    <s v="Diogo Sousa"/>
    <x v="1"/>
    <x v="12"/>
    <x v="0"/>
    <n v="5"/>
    <x v="2"/>
    <x v="1"/>
    <n v="0"/>
    <x v="1"/>
    <n v="0"/>
    <n v="0"/>
    <n v="5"/>
  </r>
  <r>
    <x v="14"/>
    <s v="Fernanda Lima"/>
    <x v="0"/>
    <x v="13"/>
    <x v="1"/>
    <n v="15"/>
    <x v="0"/>
    <x v="0"/>
    <n v="30"/>
    <x v="0"/>
    <n v="20"/>
    <n v="8"/>
    <n v="57"/>
  </r>
  <r>
    <x v="15"/>
    <s v="Caio Pereira"/>
    <x v="2"/>
    <x v="14"/>
    <x v="0"/>
    <n v="10"/>
    <x v="1"/>
    <x v="1"/>
    <n v="0"/>
    <x v="0"/>
    <n v="20"/>
    <n v="12"/>
    <n v="18"/>
  </r>
  <r>
    <x v="16"/>
    <s v="Beatriz Gomes"/>
    <x v="1"/>
    <x v="15"/>
    <x v="1"/>
    <n v="5"/>
    <x v="0"/>
    <x v="1"/>
    <n v="0"/>
    <x v="1"/>
    <n v="0"/>
    <n v="2"/>
    <n v="3"/>
  </r>
  <r>
    <x v="17"/>
    <s v="Cesar Oliveira"/>
    <x v="0"/>
    <x v="16"/>
    <x v="0"/>
    <n v="15"/>
    <x v="2"/>
    <x v="0"/>
    <n v="30"/>
    <x v="0"/>
    <n v="20"/>
    <n v="7"/>
    <n v="58"/>
  </r>
  <r>
    <x v="18"/>
    <s v="Débora Machado"/>
    <x v="2"/>
    <x v="17"/>
    <x v="1"/>
    <n v="10"/>
    <x v="0"/>
    <x v="1"/>
    <n v="0"/>
    <x v="0"/>
    <n v="20"/>
    <n v="5"/>
    <n v="25"/>
  </r>
  <r>
    <x v="19"/>
    <s v="Eduardo Vargas"/>
    <x v="1"/>
    <x v="18"/>
    <x v="0"/>
    <n v="5"/>
    <x v="1"/>
    <x v="1"/>
    <n v="0"/>
    <x v="1"/>
    <n v="0"/>
    <n v="0"/>
    <n v="5"/>
  </r>
  <r>
    <x v="20"/>
    <s v="Gabriela Santos"/>
    <x v="0"/>
    <x v="19"/>
    <x v="1"/>
    <n v="15"/>
    <x v="0"/>
    <x v="0"/>
    <n v="30"/>
    <x v="0"/>
    <n v="20"/>
    <n v="3"/>
    <n v="62"/>
  </r>
  <r>
    <x v="21"/>
    <s v="Henrique Dias"/>
    <x v="2"/>
    <x v="20"/>
    <x v="0"/>
    <n v="10"/>
    <x v="2"/>
    <x v="1"/>
    <n v="0"/>
    <x v="0"/>
    <n v="20"/>
    <n v="15"/>
    <n v="15"/>
  </r>
  <r>
    <x v="22"/>
    <s v="Isabela Moreira"/>
    <x v="1"/>
    <x v="21"/>
    <x v="1"/>
    <n v="5"/>
    <x v="0"/>
    <x v="1"/>
    <n v="0"/>
    <x v="1"/>
    <n v="0"/>
    <n v="1"/>
    <n v="4"/>
  </r>
  <r>
    <x v="23"/>
    <s v="Joaquim Barbosa"/>
    <x v="0"/>
    <x v="22"/>
    <x v="0"/>
    <n v="15"/>
    <x v="1"/>
    <x v="0"/>
    <n v="30"/>
    <x v="0"/>
    <n v="20"/>
    <n v="20"/>
    <n v="45"/>
  </r>
  <r>
    <x v="24"/>
    <s v="Lara Rocha"/>
    <x v="2"/>
    <x v="23"/>
    <x v="1"/>
    <n v="10"/>
    <x v="0"/>
    <x v="1"/>
    <n v="0"/>
    <x v="0"/>
    <n v="20"/>
    <n v="10"/>
    <n v="20"/>
  </r>
  <r>
    <x v="25"/>
    <s v="Matheus Silva"/>
    <x v="1"/>
    <x v="24"/>
    <x v="0"/>
    <n v="5"/>
    <x v="2"/>
    <x v="1"/>
    <n v="0"/>
    <x v="1"/>
    <n v="0"/>
    <n v="0"/>
    <n v="5"/>
  </r>
  <r>
    <x v="26"/>
    <s v="Nicole Costa"/>
    <x v="0"/>
    <x v="25"/>
    <x v="1"/>
    <n v="15"/>
    <x v="0"/>
    <x v="0"/>
    <n v="30"/>
    <x v="0"/>
    <n v="20"/>
    <n v="5"/>
    <n v="60"/>
  </r>
  <r>
    <x v="27"/>
    <s v="Otávio Mendonça"/>
    <x v="2"/>
    <x v="26"/>
    <x v="0"/>
    <n v="10"/>
    <x v="1"/>
    <x v="1"/>
    <n v="0"/>
    <x v="0"/>
    <n v="20"/>
    <n v="15"/>
    <n v="15"/>
  </r>
  <r>
    <x v="28"/>
    <s v="Paula Ferreira"/>
    <x v="1"/>
    <x v="27"/>
    <x v="1"/>
    <n v="5"/>
    <x v="0"/>
    <x v="1"/>
    <n v="0"/>
    <x v="1"/>
    <n v="0"/>
    <n v="1"/>
    <n v="4"/>
  </r>
  <r>
    <x v="29"/>
    <s v="Raquel Alves"/>
    <x v="0"/>
    <x v="28"/>
    <x v="0"/>
    <n v="15"/>
    <x v="2"/>
    <x v="0"/>
    <n v="30"/>
    <x v="0"/>
    <n v="20"/>
    <n v="7"/>
    <n v="58"/>
  </r>
  <r>
    <x v="30"/>
    <s v="Samuel Pires"/>
    <x v="2"/>
    <x v="29"/>
    <x v="1"/>
    <n v="10"/>
    <x v="0"/>
    <x v="1"/>
    <n v="0"/>
    <x v="0"/>
    <n v="20"/>
    <n v="10"/>
    <n v="20"/>
  </r>
  <r>
    <x v="31"/>
    <s v="Tânia Barros"/>
    <x v="1"/>
    <x v="30"/>
    <x v="0"/>
    <n v="5"/>
    <x v="1"/>
    <x v="1"/>
    <n v="0"/>
    <x v="1"/>
    <n v="0"/>
    <n v="0"/>
    <n v="5"/>
  </r>
  <r>
    <x v="32"/>
    <s v="Vinicius Lima"/>
    <x v="0"/>
    <x v="31"/>
    <x v="1"/>
    <n v="15"/>
    <x v="0"/>
    <x v="0"/>
    <n v="30"/>
    <x v="0"/>
    <n v="20"/>
    <n v="3"/>
    <n v="62"/>
  </r>
  <r>
    <x v="33"/>
    <s v="Yasmin Teixeira"/>
    <x v="2"/>
    <x v="32"/>
    <x v="0"/>
    <n v="10"/>
    <x v="2"/>
    <x v="1"/>
    <n v="0"/>
    <x v="0"/>
    <n v="20"/>
    <n v="15"/>
    <n v="15"/>
  </r>
  <r>
    <x v="34"/>
    <s v="Zé Carlos"/>
    <x v="1"/>
    <x v="33"/>
    <x v="1"/>
    <n v="5"/>
    <x v="0"/>
    <x v="1"/>
    <n v="0"/>
    <x v="1"/>
    <n v="0"/>
    <n v="1"/>
    <n v="4"/>
  </r>
  <r>
    <x v="35"/>
    <s v="Amanda Nogueira"/>
    <x v="1"/>
    <x v="34"/>
    <x v="0"/>
    <n v="5"/>
    <x v="0"/>
    <x v="1"/>
    <n v="0"/>
    <x v="1"/>
    <n v="0"/>
    <n v="0"/>
    <n v="5"/>
  </r>
  <r>
    <x v="36"/>
    <s v="Bruno Cavalheiro"/>
    <x v="0"/>
    <x v="35"/>
    <x v="1"/>
    <n v="15"/>
    <x v="2"/>
    <x v="0"/>
    <n v="30"/>
    <x v="0"/>
    <n v="20"/>
    <n v="7"/>
    <n v="58"/>
  </r>
  <r>
    <x v="37"/>
    <s v="Carla Dias"/>
    <x v="2"/>
    <x v="36"/>
    <x v="0"/>
    <n v="10"/>
    <x v="1"/>
    <x v="1"/>
    <n v="0"/>
    <x v="0"/>
    <n v="20"/>
    <n v="10"/>
    <n v="20"/>
  </r>
  <r>
    <x v="38"/>
    <s v="Diego Fontes"/>
    <x v="1"/>
    <x v="37"/>
    <x v="1"/>
    <n v="5"/>
    <x v="2"/>
    <x v="1"/>
    <n v="0"/>
    <x v="1"/>
    <n v="0"/>
    <n v="1"/>
    <n v="4"/>
  </r>
  <r>
    <x v="39"/>
    <s v="Eunice Lima"/>
    <x v="0"/>
    <x v="38"/>
    <x v="0"/>
    <n v="15"/>
    <x v="0"/>
    <x v="0"/>
    <n v="30"/>
    <x v="0"/>
    <n v="20"/>
    <n v="15"/>
    <n v="50"/>
  </r>
  <r>
    <x v="40"/>
    <s v="Fábio Martins"/>
    <x v="2"/>
    <x v="39"/>
    <x v="1"/>
    <n v="10"/>
    <x v="0"/>
    <x v="1"/>
    <n v="0"/>
    <x v="0"/>
    <n v="20"/>
    <n v="5"/>
    <n v="25"/>
  </r>
  <r>
    <x v="41"/>
    <s v="Gisele Araújo"/>
    <x v="1"/>
    <x v="40"/>
    <x v="0"/>
    <n v="5"/>
    <x v="1"/>
    <x v="1"/>
    <n v="0"/>
    <x v="1"/>
    <n v="0"/>
    <n v="0"/>
    <n v="5"/>
  </r>
  <r>
    <x v="42"/>
    <s v="Hélio Castro"/>
    <x v="0"/>
    <x v="41"/>
    <x v="1"/>
    <n v="15"/>
    <x v="2"/>
    <x v="0"/>
    <n v="30"/>
    <x v="0"/>
    <n v="20"/>
    <n v="20"/>
    <n v="45"/>
  </r>
  <r>
    <x v="43"/>
    <s v="Ingrid Menezes"/>
    <x v="2"/>
    <x v="42"/>
    <x v="0"/>
    <n v="10"/>
    <x v="2"/>
    <x v="1"/>
    <n v="0"/>
    <x v="0"/>
    <n v="20"/>
    <n v="12"/>
    <n v="18"/>
  </r>
  <r>
    <x v="44"/>
    <s v="Jorge Baptista"/>
    <x v="1"/>
    <x v="43"/>
    <x v="1"/>
    <n v="5"/>
    <x v="0"/>
    <x v="1"/>
    <n v="0"/>
    <x v="1"/>
    <n v="0"/>
    <n v="2"/>
    <n v="3"/>
  </r>
  <r>
    <x v="45"/>
    <s v="Kléber Oliveira"/>
    <x v="0"/>
    <x v="44"/>
    <x v="0"/>
    <n v="15"/>
    <x v="1"/>
    <x v="0"/>
    <n v="30"/>
    <x v="0"/>
    <n v="20"/>
    <n v="5"/>
    <n v="60"/>
  </r>
  <r>
    <x v="46"/>
    <s v="Luciana Freitas"/>
    <x v="2"/>
    <x v="45"/>
    <x v="1"/>
    <n v="10"/>
    <x v="0"/>
    <x v="1"/>
    <n v="0"/>
    <x v="0"/>
    <n v="20"/>
    <n v="10"/>
    <n v="20"/>
  </r>
  <r>
    <x v="47"/>
    <s v="Márcia Eller"/>
    <x v="1"/>
    <x v="46"/>
    <x v="0"/>
    <n v="5"/>
    <x v="2"/>
    <x v="1"/>
    <n v="0"/>
    <x v="1"/>
    <n v="0"/>
    <n v="0"/>
    <n v="5"/>
  </r>
  <r>
    <x v="48"/>
    <s v="Nilo Peçanha"/>
    <x v="0"/>
    <x v="47"/>
    <x v="1"/>
    <n v="15"/>
    <x v="0"/>
    <x v="0"/>
    <n v="30"/>
    <x v="0"/>
    <n v="20"/>
    <n v="3"/>
    <n v="62"/>
  </r>
  <r>
    <x v="49"/>
    <s v="Oscar Neves"/>
    <x v="2"/>
    <x v="48"/>
    <x v="0"/>
    <n v="10"/>
    <x v="1"/>
    <x v="1"/>
    <n v="0"/>
    <x v="0"/>
    <n v="20"/>
    <n v="15"/>
    <n v="15"/>
  </r>
  <r>
    <x v="50"/>
    <s v="Patrícia Soares"/>
    <x v="1"/>
    <x v="49"/>
    <x v="1"/>
    <n v="5"/>
    <x v="0"/>
    <x v="1"/>
    <n v="0"/>
    <x v="1"/>
    <n v="0"/>
    <n v="1"/>
    <n v="4"/>
  </r>
  <r>
    <x v="51"/>
    <s v="Quirino Gonçalves"/>
    <x v="0"/>
    <x v="50"/>
    <x v="0"/>
    <n v="15"/>
    <x v="2"/>
    <x v="0"/>
    <n v="30"/>
    <x v="0"/>
    <n v="20"/>
    <n v="7"/>
    <n v="58"/>
  </r>
  <r>
    <x v="52"/>
    <s v="Raul Machado"/>
    <x v="2"/>
    <x v="51"/>
    <x v="1"/>
    <n v="10"/>
    <x v="0"/>
    <x v="1"/>
    <n v="0"/>
    <x v="0"/>
    <n v="20"/>
    <n v="10"/>
    <n v="20"/>
  </r>
  <r>
    <x v="53"/>
    <s v="Sônia Lobo"/>
    <x v="1"/>
    <x v="52"/>
    <x v="0"/>
    <n v="5"/>
    <x v="1"/>
    <x v="1"/>
    <n v="0"/>
    <x v="1"/>
    <n v="0"/>
    <n v="0"/>
    <n v="5"/>
  </r>
  <r>
    <x v="54"/>
    <s v="Tiago Ramos"/>
    <x v="0"/>
    <x v="53"/>
    <x v="1"/>
    <n v="15"/>
    <x v="0"/>
    <x v="0"/>
    <n v="30"/>
    <x v="0"/>
    <n v="20"/>
    <n v="20"/>
    <n v="45"/>
  </r>
  <r>
    <x v="55"/>
    <s v="Ugo Pires"/>
    <x v="2"/>
    <x v="54"/>
    <x v="0"/>
    <n v="10"/>
    <x v="2"/>
    <x v="1"/>
    <n v="0"/>
    <x v="0"/>
    <n v="20"/>
    <n v="15"/>
    <n v="15"/>
  </r>
  <r>
    <x v="56"/>
    <s v="Valéria Nobre"/>
    <x v="1"/>
    <x v="55"/>
    <x v="1"/>
    <n v="5"/>
    <x v="0"/>
    <x v="1"/>
    <n v="0"/>
    <x v="1"/>
    <n v="0"/>
    <n v="1"/>
    <n v="4"/>
  </r>
  <r>
    <x v="57"/>
    <s v="William Siqueira"/>
    <x v="0"/>
    <x v="56"/>
    <x v="0"/>
    <n v="15"/>
    <x v="1"/>
    <x v="0"/>
    <n v="30"/>
    <x v="0"/>
    <n v="20"/>
    <n v="3"/>
    <n v="62"/>
  </r>
  <r>
    <x v="58"/>
    <s v="Xuxa Meneghel"/>
    <x v="2"/>
    <x v="57"/>
    <x v="1"/>
    <n v="10"/>
    <x v="0"/>
    <x v="1"/>
    <n v="0"/>
    <x v="0"/>
    <n v="20"/>
    <n v="10"/>
    <n v="20"/>
  </r>
  <r>
    <x v="59"/>
    <s v="Yara Figueiredo"/>
    <x v="1"/>
    <x v="58"/>
    <x v="0"/>
    <n v="5"/>
    <x v="2"/>
    <x v="1"/>
    <n v="0"/>
    <x v="1"/>
    <n v="0"/>
    <n v="0"/>
    <n v="5"/>
  </r>
  <r>
    <x v="60"/>
    <s v="Zacarias Alves"/>
    <x v="0"/>
    <x v="59"/>
    <x v="1"/>
    <n v="15"/>
    <x v="0"/>
    <x v="0"/>
    <n v="30"/>
    <x v="0"/>
    <n v="20"/>
    <n v="5"/>
    <n v="60"/>
  </r>
  <r>
    <x v="61"/>
    <s v="Amanda Bynes"/>
    <x v="2"/>
    <x v="60"/>
    <x v="0"/>
    <n v="10"/>
    <x v="1"/>
    <x v="1"/>
    <n v="0"/>
    <x v="0"/>
    <n v="20"/>
    <n v="15"/>
    <n v="15"/>
  </r>
  <r>
    <x v="62"/>
    <s v="Bruno Mars"/>
    <x v="1"/>
    <x v="61"/>
    <x v="1"/>
    <n v="5"/>
    <x v="0"/>
    <x v="1"/>
    <n v="0"/>
    <x v="1"/>
    <n v="0"/>
    <n v="1"/>
    <n v="4"/>
  </r>
  <r>
    <x v="63"/>
    <s v="Carla Bruni"/>
    <x v="0"/>
    <x v="62"/>
    <x v="0"/>
    <n v="15"/>
    <x v="2"/>
    <x v="0"/>
    <n v="30"/>
    <x v="0"/>
    <n v="20"/>
    <n v="20"/>
    <n v="45"/>
  </r>
  <r>
    <x v="64"/>
    <s v="Diego Maradona"/>
    <x v="2"/>
    <x v="63"/>
    <x v="1"/>
    <n v="10"/>
    <x v="0"/>
    <x v="1"/>
    <n v="0"/>
    <x v="0"/>
    <n v="20"/>
    <n v="5"/>
    <n v="25"/>
  </r>
  <r>
    <x v="65"/>
    <s v="Estela Marques"/>
    <x v="1"/>
    <x v="64"/>
    <x v="1"/>
    <n v="5"/>
    <x v="0"/>
    <x v="1"/>
    <n v="0"/>
    <x v="1"/>
    <n v="0"/>
    <n v="0"/>
    <n v="5"/>
  </r>
  <r>
    <x v="66"/>
    <s v="Fábio Nobre"/>
    <x v="0"/>
    <x v="65"/>
    <x v="0"/>
    <n v="15"/>
    <x v="2"/>
    <x v="0"/>
    <n v="30"/>
    <x v="0"/>
    <n v="20"/>
    <n v="7"/>
    <n v="58"/>
  </r>
  <r>
    <x v="67"/>
    <s v="Gabriel Oliveira"/>
    <x v="2"/>
    <x v="66"/>
    <x v="1"/>
    <n v="10"/>
    <x v="1"/>
    <x v="1"/>
    <n v="0"/>
    <x v="0"/>
    <n v="20"/>
    <n v="10"/>
    <n v="20"/>
  </r>
  <r>
    <x v="68"/>
    <s v="Helena Santos"/>
    <x v="1"/>
    <x v="67"/>
    <x v="0"/>
    <n v="5"/>
    <x v="2"/>
    <x v="1"/>
    <n v="0"/>
    <x v="1"/>
    <n v="0"/>
    <n v="1"/>
    <n v="4"/>
  </r>
  <r>
    <x v="69"/>
    <s v="Ivan Carvalho"/>
    <x v="0"/>
    <x v="68"/>
    <x v="1"/>
    <n v="15"/>
    <x v="0"/>
    <x v="0"/>
    <n v="30"/>
    <x v="0"/>
    <n v="20"/>
    <n v="15"/>
    <n v="50"/>
  </r>
  <r>
    <x v="70"/>
    <s v="Júlia Ferreira"/>
    <x v="2"/>
    <x v="69"/>
    <x v="0"/>
    <n v="10"/>
    <x v="0"/>
    <x v="1"/>
    <n v="0"/>
    <x v="0"/>
    <n v="20"/>
    <n v="5"/>
    <n v="25"/>
  </r>
  <r>
    <x v="71"/>
    <s v="Karla Alves"/>
    <x v="1"/>
    <x v="70"/>
    <x v="1"/>
    <n v="5"/>
    <x v="1"/>
    <x v="1"/>
    <n v="0"/>
    <x v="1"/>
    <n v="0"/>
    <n v="0"/>
    <n v="5"/>
  </r>
  <r>
    <x v="72"/>
    <s v="Lucas Mendes"/>
    <x v="0"/>
    <x v="71"/>
    <x v="0"/>
    <n v="15"/>
    <x v="2"/>
    <x v="0"/>
    <n v="30"/>
    <x v="0"/>
    <n v="20"/>
    <n v="20"/>
    <n v="45"/>
  </r>
  <r>
    <x v="73"/>
    <s v="Mônica Gomes"/>
    <x v="2"/>
    <x v="72"/>
    <x v="1"/>
    <n v="10"/>
    <x v="2"/>
    <x v="1"/>
    <n v="0"/>
    <x v="0"/>
    <n v="20"/>
    <n v="12"/>
    <n v="18"/>
  </r>
  <r>
    <x v="74"/>
    <s v="Norberto Queiroz"/>
    <x v="1"/>
    <x v="73"/>
    <x v="0"/>
    <n v="5"/>
    <x v="0"/>
    <x v="1"/>
    <n v="0"/>
    <x v="1"/>
    <n v="0"/>
    <n v="2"/>
    <n v="3"/>
  </r>
  <r>
    <x v="75"/>
    <s v="Otávio Barros"/>
    <x v="0"/>
    <x v="74"/>
    <x v="1"/>
    <n v="15"/>
    <x v="1"/>
    <x v="0"/>
    <n v="30"/>
    <x v="0"/>
    <n v="20"/>
    <n v="5"/>
    <n v="60"/>
  </r>
  <r>
    <x v="76"/>
    <s v="Paula Vieira"/>
    <x v="2"/>
    <x v="75"/>
    <x v="0"/>
    <n v="10"/>
    <x v="0"/>
    <x v="1"/>
    <n v="0"/>
    <x v="0"/>
    <n v="20"/>
    <n v="10"/>
    <n v="20"/>
  </r>
  <r>
    <x v="77"/>
    <s v="Quentin Ramos"/>
    <x v="1"/>
    <x v="76"/>
    <x v="1"/>
    <n v="5"/>
    <x v="2"/>
    <x v="1"/>
    <n v="0"/>
    <x v="1"/>
    <n v="0"/>
    <n v="0"/>
    <n v="5"/>
  </r>
  <r>
    <x v="78"/>
    <s v="Raquel Novaes"/>
    <x v="0"/>
    <x v="77"/>
    <x v="0"/>
    <n v="15"/>
    <x v="0"/>
    <x v="0"/>
    <n v="30"/>
    <x v="0"/>
    <n v="20"/>
    <n v="3"/>
    <n v="62"/>
  </r>
  <r>
    <x v="79"/>
    <s v="Samantha Lopes"/>
    <x v="2"/>
    <x v="78"/>
    <x v="1"/>
    <n v="10"/>
    <x v="1"/>
    <x v="1"/>
    <n v="0"/>
    <x v="0"/>
    <n v="20"/>
    <n v="15"/>
    <n v="15"/>
  </r>
  <r>
    <x v="80"/>
    <s v="Tiago Martins"/>
    <x v="1"/>
    <x v="79"/>
    <x v="0"/>
    <n v="5"/>
    <x v="0"/>
    <x v="1"/>
    <n v="0"/>
    <x v="1"/>
    <n v="0"/>
    <n v="1"/>
    <n v="4"/>
  </r>
  <r>
    <x v="81"/>
    <s v="Ulysses Guimarães"/>
    <x v="0"/>
    <x v="80"/>
    <x v="1"/>
    <n v="15"/>
    <x v="2"/>
    <x v="0"/>
    <n v="30"/>
    <x v="0"/>
    <n v="20"/>
    <n v="7"/>
    <n v="58"/>
  </r>
  <r>
    <x v="82"/>
    <s v="Vanessa Silva"/>
    <x v="2"/>
    <x v="81"/>
    <x v="0"/>
    <n v="10"/>
    <x v="0"/>
    <x v="1"/>
    <n v="0"/>
    <x v="0"/>
    <n v="20"/>
    <n v="10"/>
    <n v="20"/>
  </r>
  <r>
    <x v="83"/>
    <s v="William Carneiro"/>
    <x v="1"/>
    <x v="82"/>
    <x v="1"/>
    <n v="5"/>
    <x v="1"/>
    <x v="1"/>
    <n v="0"/>
    <x v="1"/>
    <n v="0"/>
    <n v="0"/>
    <n v="5"/>
  </r>
  <r>
    <x v="84"/>
    <s v="Ximena Rocha"/>
    <x v="0"/>
    <x v="83"/>
    <x v="0"/>
    <n v="15"/>
    <x v="0"/>
    <x v="0"/>
    <n v="30"/>
    <x v="0"/>
    <n v="20"/>
    <n v="20"/>
    <n v="45"/>
  </r>
  <r>
    <x v="85"/>
    <s v="Yasmin Figueiredo"/>
    <x v="2"/>
    <x v="84"/>
    <x v="1"/>
    <n v="10"/>
    <x v="2"/>
    <x v="1"/>
    <n v="0"/>
    <x v="0"/>
    <n v="20"/>
    <n v="15"/>
    <n v="15"/>
  </r>
  <r>
    <x v="86"/>
    <s v="Zara Cunha"/>
    <x v="1"/>
    <x v="85"/>
    <x v="0"/>
    <n v="5"/>
    <x v="0"/>
    <x v="1"/>
    <n v="0"/>
    <x v="1"/>
    <n v="0"/>
    <n v="1"/>
    <n v="4"/>
  </r>
  <r>
    <x v="87"/>
    <s v="Alan Teixeira"/>
    <x v="0"/>
    <x v="86"/>
    <x v="1"/>
    <n v="15"/>
    <x v="1"/>
    <x v="0"/>
    <n v="30"/>
    <x v="0"/>
    <n v="20"/>
    <n v="3"/>
    <n v="62"/>
  </r>
  <r>
    <x v="88"/>
    <s v="Bárbara Oliveira"/>
    <x v="2"/>
    <x v="87"/>
    <x v="0"/>
    <n v="10"/>
    <x v="0"/>
    <x v="1"/>
    <n v="0"/>
    <x v="0"/>
    <n v="20"/>
    <n v="10"/>
    <n v="20"/>
  </r>
  <r>
    <x v="89"/>
    <s v="Carlos Junqueira"/>
    <x v="1"/>
    <x v="88"/>
    <x v="1"/>
    <n v="5"/>
    <x v="2"/>
    <x v="1"/>
    <n v="0"/>
    <x v="1"/>
    <n v="0"/>
    <n v="0"/>
    <n v="5"/>
  </r>
  <r>
    <x v="90"/>
    <s v="Daniela Moura"/>
    <x v="0"/>
    <x v="89"/>
    <x v="0"/>
    <n v="15"/>
    <x v="0"/>
    <x v="0"/>
    <n v="30"/>
    <x v="0"/>
    <n v="20"/>
    <n v="5"/>
    <n v="60"/>
  </r>
  <r>
    <x v="91"/>
    <s v="Eduardo Lima"/>
    <x v="2"/>
    <x v="90"/>
    <x v="1"/>
    <n v="10"/>
    <x v="1"/>
    <x v="1"/>
    <n v="0"/>
    <x v="0"/>
    <n v="20"/>
    <n v="15"/>
    <n v="15"/>
  </r>
  <r>
    <x v="92"/>
    <s v="Fabiana Araújo"/>
    <x v="1"/>
    <x v="91"/>
    <x v="0"/>
    <n v="5"/>
    <x v="0"/>
    <x v="1"/>
    <n v="0"/>
    <x v="1"/>
    <n v="0"/>
    <n v="1"/>
    <n v="4"/>
  </r>
  <r>
    <x v="93"/>
    <s v="Geraldo Ribeiro"/>
    <x v="0"/>
    <x v="92"/>
    <x v="1"/>
    <n v="15"/>
    <x v="2"/>
    <x v="0"/>
    <n v="30"/>
    <x v="0"/>
    <n v="20"/>
    <n v="20"/>
    <n v="45"/>
  </r>
  <r>
    <x v="94"/>
    <s v="Héctor Vargas"/>
    <x v="2"/>
    <x v="93"/>
    <x v="0"/>
    <n v="10"/>
    <x v="2"/>
    <x v="1"/>
    <n v="0"/>
    <x v="0"/>
    <n v="20"/>
    <n v="15"/>
    <n v="15"/>
  </r>
  <r>
    <x v="95"/>
    <s v="Isabela Fonseca"/>
    <x v="1"/>
    <x v="94"/>
    <x v="1"/>
    <n v="5"/>
    <x v="1"/>
    <x v="1"/>
    <n v="0"/>
    <x v="1"/>
    <n v="0"/>
    <n v="0"/>
    <n v="5"/>
  </r>
  <r>
    <x v="96"/>
    <s v="João Pedro Almeida"/>
    <x v="0"/>
    <x v="95"/>
    <x v="0"/>
    <n v="15"/>
    <x v="0"/>
    <x v="0"/>
    <n v="30"/>
    <x v="0"/>
    <n v="20"/>
    <n v="7"/>
    <n v="58"/>
  </r>
  <r>
    <x v="97"/>
    <s v="Klara Costa"/>
    <x v="2"/>
    <x v="96"/>
    <x v="1"/>
    <n v="10"/>
    <x v="1"/>
    <x v="1"/>
    <n v="0"/>
    <x v="0"/>
    <n v="20"/>
    <n v="10"/>
    <n v="20"/>
  </r>
  <r>
    <x v="98"/>
    <s v="Luciana Mendes"/>
    <x v="1"/>
    <x v="97"/>
    <x v="0"/>
    <n v="5"/>
    <x v="2"/>
    <x v="1"/>
    <n v="0"/>
    <x v="1"/>
    <n v="0"/>
    <n v="1"/>
    <n v="4"/>
  </r>
  <r>
    <x v="99"/>
    <s v="Marcelo Gouveia"/>
    <x v="0"/>
    <x v="98"/>
    <x v="1"/>
    <n v="15"/>
    <x v="0"/>
    <x v="0"/>
    <n v="30"/>
    <x v="0"/>
    <n v="20"/>
    <n v="15"/>
    <n v="50"/>
  </r>
  <r>
    <x v="100"/>
    <s v="Nívea Borges"/>
    <x v="2"/>
    <x v="99"/>
    <x v="0"/>
    <n v="10"/>
    <x v="0"/>
    <x v="1"/>
    <n v="0"/>
    <x v="0"/>
    <n v="20"/>
    <n v="5"/>
    <n v="25"/>
  </r>
  <r>
    <x v="101"/>
    <s v="Oscar Nogueira"/>
    <x v="1"/>
    <x v="100"/>
    <x v="1"/>
    <n v="5"/>
    <x v="1"/>
    <x v="1"/>
    <n v="0"/>
    <x v="1"/>
    <n v="0"/>
    <n v="0"/>
    <n v="5"/>
  </r>
  <r>
    <x v="102"/>
    <s v="Patrícia Alves"/>
    <x v="0"/>
    <x v="101"/>
    <x v="0"/>
    <n v="15"/>
    <x v="2"/>
    <x v="0"/>
    <n v="30"/>
    <x v="0"/>
    <n v="20"/>
    <n v="20"/>
    <n v="45"/>
  </r>
  <r>
    <x v="103"/>
    <s v="Rafaela Silva"/>
    <x v="2"/>
    <x v="102"/>
    <x v="1"/>
    <n v="10"/>
    <x v="2"/>
    <x v="1"/>
    <n v="0"/>
    <x v="0"/>
    <n v="20"/>
    <n v="12"/>
    <n v="18"/>
  </r>
  <r>
    <x v="104"/>
    <s v="Samantha Moraes"/>
    <x v="1"/>
    <x v="103"/>
    <x v="0"/>
    <n v="5"/>
    <x v="0"/>
    <x v="1"/>
    <n v="0"/>
    <x v="1"/>
    <n v="0"/>
    <n v="2"/>
    <n v="3"/>
  </r>
  <r>
    <x v="105"/>
    <s v="Tatiana Rocha"/>
    <x v="1"/>
    <x v="104"/>
    <x v="0"/>
    <n v="5"/>
    <x v="0"/>
    <x v="1"/>
    <n v="0"/>
    <x v="1"/>
    <n v="0"/>
    <n v="0"/>
    <n v="5"/>
  </r>
  <r>
    <x v="106"/>
    <s v="Ulisses Tavares"/>
    <x v="0"/>
    <x v="105"/>
    <x v="1"/>
    <n v="15"/>
    <x v="2"/>
    <x v="0"/>
    <n v="30"/>
    <x v="0"/>
    <n v="20"/>
    <n v="7"/>
    <n v="58"/>
  </r>
  <r>
    <x v="107"/>
    <s v="Víctor Lemos"/>
    <x v="2"/>
    <x v="106"/>
    <x v="0"/>
    <n v="10"/>
    <x v="1"/>
    <x v="1"/>
    <n v="0"/>
    <x v="0"/>
    <n v="20"/>
    <n v="10"/>
    <n v="20"/>
  </r>
  <r>
    <x v="108"/>
    <s v="Wilma Barros"/>
    <x v="1"/>
    <x v="107"/>
    <x v="1"/>
    <n v="5"/>
    <x v="2"/>
    <x v="1"/>
    <n v="0"/>
    <x v="1"/>
    <n v="0"/>
    <n v="1"/>
    <n v="4"/>
  </r>
  <r>
    <x v="109"/>
    <s v="Xavier Nascimento"/>
    <x v="0"/>
    <x v="108"/>
    <x v="0"/>
    <n v="15"/>
    <x v="0"/>
    <x v="0"/>
    <n v="30"/>
    <x v="0"/>
    <n v="20"/>
    <n v="15"/>
    <n v="50"/>
  </r>
  <r>
    <x v="110"/>
    <s v="Yago Pereira"/>
    <x v="2"/>
    <x v="109"/>
    <x v="1"/>
    <n v="10"/>
    <x v="0"/>
    <x v="1"/>
    <n v="0"/>
    <x v="0"/>
    <n v="20"/>
    <n v="5"/>
    <n v="25"/>
  </r>
  <r>
    <x v="111"/>
    <s v="Zilda Ferreira"/>
    <x v="1"/>
    <x v="110"/>
    <x v="0"/>
    <n v="5"/>
    <x v="1"/>
    <x v="1"/>
    <n v="0"/>
    <x v="1"/>
    <n v="0"/>
    <n v="0"/>
    <n v="5"/>
  </r>
  <r>
    <x v="112"/>
    <s v="Amanda Lopes"/>
    <x v="0"/>
    <x v="111"/>
    <x v="1"/>
    <n v="15"/>
    <x v="2"/>
    <x v="0"/>
    <n v="30"/>
    <x v="0"/>
    <n v="20"/>
    <n v="20"/>
    <n v="45"/>
  </r>
  <r>
    <x v="113"/>
    <s v="Bruno Miranda"/>
    <x v="2"/>
    <x v="112"/>
    <x v="0"/>
    <n v="10"/>
    <x v="2"/>
    <x v="1"/>
    <n v="0"/>
    <x v="0"/>
    <n v="20"/>
    <n v="12"/>
    <n v="18"/>
  </r>
  <r>
    <x v="114"/>
    <s v="Célia Torres"/>
    <x v="1"/>
    <x v="113"/>
    <x v="1"/>
    <n v="5"/>
    <x v="0"/>
    <x v="1"/>
    <n v="0"/>
    <x v="1"/>
    <n v="0"/>
    <n v="2"/>
    <n v="3"/>
  </r>
  <r>
    <x v="115"/>
    <s v="Diogo Souza"/>
    <x v="0"/>
    <x v="114"/>
    <x v="0"/>
    <n v="15"/>
    <x v="1"/>
    <x v="0"/>
    <n v="30"/>
    <x v="0"/>
    <n v="20"/>
    <n v="5"/>
    <n v="60"/>
  </r>
  <r>
    <x v="116"/>
    <s v="Elisa Castro"/>
    <x v="2"/>
    <x v="115"/>
    <x v="1"/>
    <n v="10"/>
    <x v="0"/>
    <x v="1"/>
    <n v="0"/>
    <x v="0"/>
    <n v="20"/>
    <n v="10"/>
    <n v="20"/>
  </r>
  <r>
    <x v="117"/>
    <s v="Fátima Lima"/>
    <x v="1"/>
    <x v="116"/>
    <x v="0"/>
    <n v="5"/>
    <x v="2"/>
    <x v="1"/>
    <n v="0"/>
    <x v="1"/>
    <n v="0"/>
    <n v="0"/>
    <n v="5"/>
  </r>
  <r>
    <x v="118"/>
    <s v="Geraldo Ribeiro"/>
    <x v="0"/>
    <x v="117"/>
    <x v="1"/>
    <n v="15"/>
    <x v="0"/>
    <x v="0"/>
    <n v="30"/>
    <x v="0"/>
    <n v="20"/>
    <n v="3"/>
    <n v="62"/>
  </r>
  <r>
    <x v="119"/>
    <s v="Hélio Martins"/>
    <x v="2"/>
    <x v="118"/>
    <x v="0"/>
    <n v="10"/>
    <x v="1"/>
    <x v="1"/>
    <n v="0"/>
    <x v="0"/>
    <n v="20"/>
    <n v="15"/>
    <n v="15"/>
  </r>
  <r>
    <x v="120"/>
    <s v="Íris Santos"/>
    <x v="1"/>
    <x v="119"/>
    <x v="1"/>
    <n v="5"/>
    <x v="0"/>
    <x v="1"/>
    <n v="0"/>
    <x v="1"/>
    <n v="0"/>
    <n v="1"/>
    <n v="4"/>
  </r>
  <r>
    <x v="121"/>
    <s v="João Marcelo"/>
    <x v="0"/>
    <x v="120"/>
    <x v="0"/>
    <n v="15"/>
    <x v="2"/>
    <x v="0"/>
    <n v="30"/>
    <x v="0"/>
    <n v="20"/>
    <n v="7"/>
    <n v="58"/>
  </r>
  <r>
    <x v="122"/>
    <s v="Larissa Gomes"/>
    <x v="2"/>
    <x v="121"/>
    <x v="1"/>
    <n v="10"/>
    <x v="0"/>
    <x v="1"/>
    <n v="0"/>
    <x v="0"/>
    <n v="20"/>
    <n v="10"/>
    <n v="20"/>
  </r>
  <r>
    <x v="123"/>
    <s v="Márcio Silva"/>
    <x v="1"/>
    <x v="122"/>
    <x v="0"/>
    <n v="5"/>
    <x v="1"/>
    <x v="1"/>
    <n v="0"/>
    <x v="1"/>
    <n v="0"/>
    <n v="0"/>
    <n v="5"/>
  </r>
  <r>
    <x v="124"/>
    <s v="Nadia Costa"/>
    <x v="0"/>
    <x v="123"/>
    <x v="1"/>
    <n v="15"/>
    <x v="0"/>
    <x v="0"/>
    <n v="30"/>
    <x v="0"/>
    <n v="20"/>
    <n v="20"/>
    <n v="45"/>
  </r>
  <r>
    <x v="125"/>
    <s v="Oscar Almeida"/>
    <x v="2"/>
    <x v="124"/>
    <x v="0"/>
    <n v="10"/>
    <x v="2"/>
    <x v="1"/>
    <n v="0"/>
    <x v="0"/>
    <n v="20"/>
    <n v="15"/>
    <n v="15"/>
  </r>
  <r>
    <x v="126"/>
    <s v="Patricia Soares"/>
    <x v="1"/>
    <x v="125"/>
    <x v="1"/>
    <n v="5"/>
    <x v="0"/>
    <x v="1"/>
    <n v="0"/>
    <x v="1"/>
    <n v="0"/>
    <n v="1"/>
    <n v="4"/>
  </r>
  <r>
    <x v="127"/>
    <s v="Quênia Barros"/>
    <x v="0"/>
    <x v="126"/>
    <x v="0"/>
    <n v="15"/>
    <x v="1"/>
    <x v="0"/>
    <n v="30"/>
    <x v="0"/>
    <n v="20"/>
    <n v="3"/>
    <n v="62"/>
  </r>
  <r>
    <x v="128"/>
    <s v="Rafael Torres"/>
    <x v="2"/>
    <x v="127"/>
    <x v="1"/>
    <n v="10"/>
    <x v="0"/>
    <x v="1"/>
    <n v="0"/>
    <x v="0"/>
    <n v="20"/>
    <n v="10"/>
    <n v="20"/>
  </r>
  <r>
    <x v="129"/>
    <s v="Silvia Nascimento"/>
    <x v="1"/>
    <x v="128"/>
    <x v="0"/>
    <n v="5"/>
    <x v="2"/>
    <x v="1"/>
    <n v="0"/>
    <x v="1"/>
    <n v="0"/>
    <n v="0"/>
    <n v="5"/>
  </r>
  <r>
    <x v="130"/>
    <s v="Tiago Mendes"/>
    <x v="0"/>
    <x v="129"/>
    <x v="1"/>
    <n v="15"/>
    <x v="0"/>
    <x v="0"/>
    <n v="30"/>
    <x v="0"/>
    <n v="20"/>
    <n v="15"/>
    <n v="50"/>
  </r>
  <r>
    <x v="131"/>
    <s v="Ursula Silva"/>
    <x v="2"/>
    <x v="130"/>
    <x v="0"/>
    <n v="10"/>
    <x v="1"/>
    <x v="1"/>
    <n v="0"/>
    <x v="0"/>
    <n v="20"/>
    <n v="15"/>
    <n v="15"/>
  </r>
  <r>
    <x v="132"/>
    <s v="Vanessa Moraes"/>
    <x v="1"/>
    <x v="131"/>
    <x v="1"/>
    <n v="5"/>
    <x v="0"/>
    <x v="1"/>
    <n v="0"/>
    <x v="1"/>
    <n v="0"/>
    <n v="1"/>
    <n v="4"/>
  </r>
  <r>
    <x v="133"/>
    <s v="Waldir Junior"/>
    <x v="0"/>
    <x v="132"/>
    <x v="0"/>
    <n v="15"/>
    <x v="2"/>
    <x v="0"/>
    <n v="30"/>
    <x v="0"/>
    <n v="20"/>
    <n v="7"/>
    <n v="58"/>
  </r>
  <r>
    <x v="134"/>
    <s v="Xavier Lopes"/>
    <x v="2"/>
    <x v="133"/>
    <x v="1"/>
    <n v="10"/>
    <x v="0"/>
    <x v="1"/>
    <n v="0"/>
    <x v="0"/>
    <n v="20"/>
    <n v="10"/>
    <n v="20"/>
  </r>
  <r>
    <x v="135"/>
    <s v="Yolanda Freitas"/>
    <x v="1"/>
    <x v="134"/>
    <x v="0"/>
    <n v="5"/>
    <x v="0"/>
    <x v="1"/>
    <n v="0"/>
    <x v="1"/>
    <n v="0"/>
    <n v="0"/>
    <n v="5"/>
  </r>
  <r>
    <x v="136"/>
    <s v="Zacarias Nunes"/>
    <x v="0"/>
    <x v="135"/>
    <x v="1"/>
    <n v="15"/>
    <x v="2"/>
    <x v="0"/>
    <n v="30"/>
    <x v="0"/>
    <n v="20"/>
    <n v="7"/>
    <n v="58"/>
  </r>
  <r>
    <x v="137"/>
    <s v="Ana Clara Barreto"/>
    <x v="2"/>
    <x v="136"/>
    <x v="0"/>
    <n v="10"/>
    <x v="1"/>
    <x v="1"/>
    <n v="0"/>
    <x v="0"/>
    <n v="20"/>
    <n v="10"/>
    <n v="20"/>
  </r>
  <r>
    <x v="138"/>
    <s v="Bruno Henrique"/>
    <x v="1"/>
    <x v="137"/>
    <x v="1"/>
    <n v="5"/>
    <x v="2"/>
    <x v="1"/>
    <n v="0"/>
    <x v="1"/>
    <n v="0"/>
    <n v="1"/>
    <n v="4"/>
  </r>
  <r>
    <x v="139"/>
    <s v="Carlos Eduardo"/>
    <x v="0"/>
    <x v="138"/>
    <x v="0"/>
    <n v="15"/>
    <x v="0"/>
    <x v="0"/>
    <n v="30"/>
    <x v="0"/>
    <n v="20"/>
    <n v="15"/>
    <n v="50"/>
  </r>
  <r>
    <x v="140"/>
    <s v="Débora Lima"/>
    <x v="2"/>
    <x v="139"/>
    <x v="1"/>
    <n v="10"/>
    <x v="0"/>
    <x v="1"/>
    <n v="0"/>
    <x v="0"/>
    <n v="20"/>
    <n v="5"/>
    <n v="25"/>
  </r>
  <r>
    <x v="141"/>
    <s v="Elisa Neves"/>
    <x v="1"/>
    <x v="140"/>
    <x v="0"/>
    <n v="5"/>
    <x v="1"/>
    <x v="1"/>
    <n v="0"/>
    <x v="1"/>
    <n v="0"/>
    <n v="0"/>
    <n v="5"/>
  </r>
  <r>
    <x v="142"/>
    <s v="Fabiano Gomes"/>
    <x v="0"/>
    <x v="141"/>
    <x v="1"/>
    <n v="15"/>
    <x v="2"/>
    <x v="0"/>
    <n v="30"/>
    <x v="0"/>
    <n v="20"/>
    <n v="20"/>
    <n v="45"/>
  </r>
  <r>
    <x v="143"/>
    <s v="Gisele Oliveira"/>
    <x v="2"/>
    <x v="142"/>
    <x v="0"/>
    <n v="10"/>
    <x v="2"/>
    <x v="1"/>
    <n v="0"/>
    <x v="0"/>
    <n v="20"/>
    <n v="12"/>
    <n v="18"/>
  </r>
  <r>
    <x v="144"/>
    <s v="Héctor Silva"/>
    <x v="1"/>
    <x v="143"/>
    <x v="1"/>
    <n v="5"/>
    <x v="0"/>
    <x v="1"/>
    <n v="0"/>
    <x v="1"/>
    <n v="0"/>
    <n v="2"/>
    <n v="3"/>
  </r>
  <r>
    <x v="145"/>
    <s v="Igor Martins"/>
    <x v="0"/>
    <x v="144"/>
    <x v="0"/>
    <n v="15"/>
    <x v="1"/>
    <x v="0"/>
    <n v="30"/>
    <x v="0"/>
    <n v="20"/>
    <n v="5"/>
    <n v="60"/>
  </r>
  <r>
    <x v="146"/>
    <s v="Joana Figueiredo"/>
    <x v="2"/>
    <x v="145"/>
    <x v="1"/>
    <n v="10"/>
    <x v="0"/>
    <x v="1"/>
    <n v="0"/>
    <x v="0"/>
    <n v="20"/>
    <n v="10"/>
    <n v="20"/>
  </r>
  <r>
    <x v="147"/>
    <s v="Kleber Machado"/>
    <x v="1"/>
    <x v="146"/>
    <x v="0"/>
    <n v="5"/>
    <x v="2"/>
    <x v="1"/>
    <n v="0"/>
    <x v="1"/>
    <n v="0"/>
    <n v="0"/>
    <n v="5"/>
  </r>
  <r>
    <x v="148"/>
    <s v="Luciana Santos"/>
    <x v="0"/>
    <x v="147"/>
    <x v="1"/>
    <n v="15"/>
    <x v="0"/>
    <x v="0"/>
    <n v="30"/>
    <x v="0"/>
    <n v="20"/>
    <n v="3"/>
    <n v="62"/>
  </r>
  <r>
    <x v="149"/>
    <s v="Marcos Teixeira"/>
    <x v="2"/>
    <x v="148"/>
    <x v="0"/>
    <n v="10"/>
    <x v="1"/>
    <x v="1"/>
    <n v="0"/>
    <x v="0"/>
    <n v="20"/>
    <n v="15"/>
    <n v="15"/>
  </r>
  <r>
    <x v="150"/>
    <s v="Natalia Costa"/>
    <x v="1"/>
    <x v="149"/>
    <x v="1"/>
    <n v="5"/>
    <x v="0"/>
    <x v="1"/>
    <n v="0"/>
    <x v="1"/>
    <n v="0"/>
    <n v="1"/>
    <n v="4"/>
  </r>
  <r>
    <x v="151"/>
    <s v="Oscar Ribeiro"/>
    <x v="0"/>
    <x v="150"/>
    <x v="0"/>
    <n v="15"/>
    <x v="2"/>
    <x v="0"/>
    <n v="30"/>
    <x v="0"/>
    <n v="20"/>
    <n v="7"/>
    <n v="58"/>
  </r>
  <r>
    <x v="152"/>
    <s v="Patricia Almeida"/>
    <x v="2"/>
    <x v="151"/>
    <x v="1"/>
    <n v="10"/>
    <x v="0"/>
    <x v="1"/>
    <n v="0"/>
    <x v="0"/>
    <n v="20"/>
    <n v="10"/>
    <n v="20"/>
  </r>
  <r>
    <x v="153"/>
    <s v="Quirino Junior"/>
    <x v="1"/>
    <x v="152"/>
    <x v="0"/>
    <n v="5"/>
    <x v="1"/>
    <x v="1"/>
    <n v="0"/>
    <x v="1"/>
    <n v="0"/>
    <n v="0"/>
    <n v="5"/>
  </r>
  <r>
    <x v="154"/>
    <s v="Renata Machado"/>
    <x v="0"/>
    <x v="153"/>
    <x v="1"/>
    <n v="15"/>
    <x v="0"/>
    <x v="0"/>
    <n v="30"/>
    <x v="0"/>
    <n v="20"/>
    <n v="20"/>
    <n v="45"/>
  </r>
  <r>
    <x v="155"/>
    <s v="Sônia Alves"/>
    <x v="2"/>
    <x v="154"/>
    <x v="0"/>
    <n v="10"/>
    <x v="2"/>
    <x v="1"/>
    <n v="0"/>
    <x v="0"/>
    <n v="20"/>
    <n v="15"/>
    <n v="15"/>
  </r>
  <r>
    <x v="156"/>
    <s v="Tiago Nunes"/>
    <x v="1"/>
    <x v="155"/>
    <x v="1"/>
    <n v="5"/>
    <x v="0"/>
    <x v="1"/>
    <n v="0"/>
    <x v="1"/>
    <n v="0"/>
    <n v="1"/>
    <n v="4"/>
  </r>
  <r>
    <x v="157"/>
    <s v="Ulysses Pereira"/>
    <x v="0"/>
    <x v="156"/>
    <x v="0"/>
    <n v="15"/>
    <x v="1"/>
    <x v="0"/>
    <n v="30"/>
    <x v="0"/>
    <n v="20"/>
    <n v="3"/>
    <n v="62"/>
  </r>
  <r>
    <x v="158"/>
    <s v="Vanessa Lima"/>
    <x v="2"/>
    <x v="157"/>
    <x v="1"/>
    <n v="10"/>
    <x v="0"/>
    <x v="1"/>
    <n v="0"/>
    <x v="0"/>
    <n v="20"/>
    <n v="10"/>
    <n v="20"/>
  </r>
  <r>
    <x v="159"/>
    <s v="Wagner Santos"/>
    <x v="1"/>
    <x v="158"/>
    <x v="0"/>
    <n v="5"/>
    <x v="2"/>
    <x v="1"/>
    <n v="0"/>
    <x v="1"/>
    <n v="0"/>
    <n v="0"/>
    <n v="5"/>
  </r>
  <r>
    <x v="160"/>
    <s v="Xuxa Meneghel"/>
    <x v="0"/>
    <x v="159"/>
    <x v="1"/>
    <n v="15"/>
    <x v="0"/>
    <x v="0"/>
    <n v="30"/>
    <x v="0"/>
    <n v="20"/>
    <n v="15"/>
    <n v="50"/>
  </r>
  <r>
    <x v="161"/>
    <s v="Yasmin Silva"/>
    <x v="2"/>
    <x v="160"/>
    <x v="0"/>
    <n v="10"/>
    <x v="1"/>
    <x v="1"/>
    <n v="0"/>
    <x v="0"/>
    <n v="20"/>
    <n v="15"/>
    <n v="15"/>
  </r>
  <r>
    <x v="162"/>
    <s v="Zacarias de Souza"/>
    <x v="1"/>
    <x v="161"/>
    <x v="1"/>
    <n v="5"/>
    <x v="0"/>
    <x v="1"/>
    <n v="0"/>
    <x v="1"/>
    <n v="0"/>
    <n v="1"/>
    <n v="4"/>
  </r>
  <r>
    <x v="163"/>
    <s v="André Lima"/>
    <x v="0"/>
    <x v="162"/>
    <x v="0"/>
    <n v="15"/>
    <x v="2"/>
    <x v="0"/>
    <n v="30"/>
    <x v="0"/>
    <n v="20"/>
    <n v="7"/>
    <n v="58"/>
  </r>
  <r>
    <x v="164"/>
    <s v="Bianca Freitas"/>
    <x v="2"/>
    <x v="163"/>
    <x v="1"/>
    <n v="10"/>
    <x v="0"/>
    <x v="1"/>
    <n v="0"/>
    <x v="0"/>
    <n v="20"/>
    <n v="10"/>
    <n v="20"/>
  </r>
  <r>
    <x v="165"/>
    <s v="Caio Mendes"/>
    <x v="1"/>
    <x v="164"/>
    <x v="0"/>
    <n v="5"/>
    <x v="1"/>
    <x v="1"/>
    <n v="0"/>
    <x v="1"/>
    <n v="0"/>
    <n v="0"/>
    <n v="5"/>
  </r>
  <r>
    <x v="166"/>
    <s v="Daniela Moura"/>
    <x v="0"/>
    <x v="165"/>
    <x v="1"/>
    <n v="15"/>
    <x v="0"/>
    <x v="0"/>
    <n v="30"/>
    <x v="0"/>
    <n v="20"/>
    <n v="20"/>
    <n v="45"/>
  </r>
  <r>
    <x v="167"/>
    <s v="Eduardo Costa"/>
    <x v="2"/>
    <x v="166"/>
    <x v="0"/>
    <n v="10"/>
    <x v="2"/>
    <x v="1"/>
    <n v="0"/>
    <x v="0"/>
    <n v="20"/>
    <n v="15"/>
    <n v="15"/>
  </r>
  <r>
    <x v="168"/>
    <s v="Fernanda Gomes"/>
    <x v="1"/>
    <x v="167"/>
    <x v="1"/>
    <n v="5"/>
    <x v="0"/>
    <x v="1"/>
    <n v="0"/>
    <x v="1"/>
    <n v="0"/>
    <n v="1"/>
    <n v="4"/>
  </r>
  <r>
    <x v="169"/>
    <s v="Guilherme Souza"/>
    <x v="0"/>
    <x v="168"/>
    <x v="0"/>
    <n v="15"/>
    <x v="1"/>
    <x v="0"/>
    <n v="30"/>
    <x v="0"/>
    <n v="20"/>
    <n v="5"/>
    <n v="60"/>
  </r>
  <r>
    <x v="170"/>
    <s v="Helena Ribeiro"/>
    <x v="2"/>
    <x v="169"/>
    <x v="1"/>
    <n v="10"/>
    <x v="0"/>
    <x v="1"/>
    <n v="0"/>
    <x v="0"/>
    <n v="20"/>
    <n v="10"/>
    <n v="20"/>
  </r>
  <r>
    <x v="171"/>
    <s v="Igor Santos"/>
    <x v="1"/>
    <x v="170"/>
    <x v="0"/>
    <n v="5"/>
    <x v="2"/>
    <x v="1"/>
    <n v="0"/>
    <x v="1"/>
    <n v="0"/>
    <n v="0"/>
    <n v="5"/>
  </r>
  <r>
    <x v="172"/>
    <s v="João Carvalho"/>
    <x v="0"/>
    <x v="171"/>
    <x v="1"/>
    <n v="15"/>
    <x v="0"/>
    <x v="0"/>
    <n v="30"/>
    <x v="0"/>
    <n v="20"/>
    <n v="3"/>
    <n v="62"/>
  </r>
  <r>
    <x v="173"/>
    <s v="Klara Fagundes"/>
    <x v="2"/>
    <x v="172"/>
    <x v="0"/>
    <n v="10"/>
    <x v="1"/>
    <x v="1"/>
    <n v="0"/>
    <x v="0"/>
    <n v="20"/>
    <n v="15"/>
    <n v="15"/>
  </r>
  <r>
    <x v="174"/>
    <s v="Lúcia Mendonça"/>
    <x v="1"/>
    <x v="173"/>
    <x v="1"/>
    <n v="5"/>
    <x v="0"/>
    <x v="1"/>
    <n v="0"/>
    <x v="1"/>
    <n v="0"/>
    <n v="1"/>
    <n v="4"/>
  </r>
  <r>
    <x v="175"/>
    <s v="Marcelo Novaes"/>
    <x v="1"/>
    <x v="174"/>
    <x v="0"/>
    <n v="5"/>
    <x v="0"/>
    <x v="1"/>
    <n v="0"/>
    <x v="1"/>
    <n v="0"/>
    <n v="0"/>
    <n v="5"/>
  </r>
  <r>
    <x v="176"/>
    <s v="Nina Pacheco"/>
    <x v="0"/>
    <x v="175"/>
    <x v="1"/>
    <n v="15"/>
    <x v="2"/>
    <x v="0"/>
    <n v="30"/>
    <x v="0"/>
    <n v="20"/>
    <n v="7"/>
    <n v="58"/>
  </r>
  <r>
    <x v="177"/>
    <s v="Olívia Rios"/>
    <x v="2"/>
    <x v="176"/>
    <x v="0"/>
    <n v="10"/>
    <x v="1"/>
    <x v="1"/>
    <n v="0"/>
    <x v="0"/>
    <n v="20"/>
    <n v="10"/>
    <n v="20"/>
  </r>
  <r>
    <x v="178"/>
    <s v="Paulo Quintana"/>
    <x v="1"/>
    <x v="177"/>
    <x v="1"/>
    <n v="5"/>
    <x v="2"/>
    <x v="1"/>
    <n v="0"/>
    <x v="1"/>
    <n v="0"/>
    <n v="1"/>
    <n v="4"/>
  </r>
  <r>
    <x v="179"/>
    <s v="Raquel Domingos"/>
    <x v="0"/>
    <x v="178"/>
    <x v="0"/>
    <n v="15"/>
    <x v="0"/>
    <x v="0"/>
    <n v="30"/>
    <x v="0"/>
    <n v="20"/>
    <n v="15"/>
    <n v="50"/>
  </r>
  <r>
    <x v="180"/>
    <s v="Samuel Viana"/>
    <x v="2"/>
    <x v="179"/>
    <x v="1"/>
    <n v="10"/>
    <x v="0"/>
    <x v="1"/>
    <n v="0"/>
    <x v="0"/>
    <n v="20"/>
    <n v="5"/>
    <n v="25"/>
  </r>
  <r>
    <x v="181"/>
    <s v="Tatiane Rocha"/>
    <x v="1"/>
    <x v="180"/>
    <x v="0"/>
    <n v="5"/>
    <x v="1"/>
    <x v="1"/>
    <n v="0"/>
    <x v="1"/>
    <n v="0"/>
    <n v="0"/>
    <n v="5"/>
  </r>
  <r>
    <x v="182"/>
    <s v="Ulysses Farias"/>
    <x v="0"/>
    <x v="181"/>
    <x v="1"/>
    <n v="15"/>
    <x v="2"/>
    <x v="0"/>
    <n v="30"/>
    <x v="0"/>
    <n v="20"/>
    <n v="20"/>
    <n v="45"/>
  </r>
  <r>
    <x v="183"/>
    <s v="Vanessa Moreira"/>
    <x v="2"/>
    <x v="182"/>
    <x v="0"/>
    <n v="10"/>
    <x v="2"/>
    <x v="1"/>
    <n v="0"/>
    <x v="0"/>
    <n v="20"/>
    <n v="12"/>
    <n v="18"/>
  </r>
  <r>
    <x v="184"/>
    <s v="William Carvalho"/>
    <x v="1"/>
    <x v="183"/>
    <x v="1"/>
    <n v="5"/>
    <x v="0"/>
    <x v="1"/>
    <n v="0"/>
    <x v="1"/>
    <n v="0"/>
    <n v="2"/>
    <n v="3"/>
  </r>
  <r>
    <x v="185"/>
    <s v="Ximena Barros"/>
    <x v="0"/>
    <x v="184"/>
    <x v="0"/>
    <n v="15"/>
    <x v="1"/>
    <x v="0"/>
    <n v="30"/>
    <x v="0"/>
    <n v="20"/>
    <n v="5"/>
    <n v="60"/>
  </r>
  <r>
    <x v="186"/>
    <s v="Yara Machado"/>
    <x v="2"/>
    <x v="185"/>
    <x v="1"/>
    <n v="10"/>
    <x v="0"/>
    <x v="1"/>
    <n v="0"/>
    <x v="0"/>
    <n v="20"/>
    <n v="10"/>
    <n v="20"/>
  </r>
  <r>
    <x v="187"/>
    <s v="Zacarias Costa"/>
    <x v="1"/>
    <x v="186"/>
    <x v="0"/>
    <n v="5"/>
    <x v="2"/>
    <x v="1"/>
    <n v="0"/>
    <x v="1"/>
    <n v="0"/>
    <n v="0"/>
    <n v="5"/>
  </r>
  <r>
    <x v="188"/>
    <s v="André Lopes"/>
    <x v="0"/>
    <x v="187"/>
    <x v="1"/>
    <n v="15"/>
    <x v="0"/>
    <x v="0"/>
    <n v="30"/>
    <x v="0"/>
    <n v="20"/>
    <n v="3"/>
    <n v="62"/>
  </r>
  <r>
    <x v="189"/>
    <s v="Beatriz Souza"/>
    <x v="2"/>
    <x v="188"/>
    <x v="0"/>
    <n v="10"/>
    <x v="1"/>
    <x v="1"/>
    <n v="0"/>
    <x v="0"/>
    <n v="20"/>
    <n v="15"/>
    <n v="15"/>
  </r>
  <r>
    <x v="190"/>
    <s v="Caio Pereira"/>
    <x v="1"/>
    <x v="189"/>
    <x v="1"/>
    <n v="5"/>
    <x v="0"/>
    <x v="1"/>
    <n v="0"/>
    <x v="1"/>
    <n v="0"/>
    <n v="1"/>
    <n v="4"/>
  </r>
  <r>
    <x v="191"/>
    <s v="Daniela Araújo"/>
    <x v="0"/>
    <x v="190"/>
    <x v="0"/>
    <n v="15"/>
    <x v="2"/>
    <x v="0"/>
    <n v="30"/>
    <x v="0"/>
    <n v="20"/>
    <n v="7"/>
    <n v="58"/>
  </r>
  <r>
    <x v="192"/>
    <s v="Eduardo Santos"/>
    <x v="2"/>
    <x v="191"/>
    <x v="1"/>
    <n v="10"/>
    <x v="0"/>
    <x v="1"/>
    <n v="0"/>
    <x v="0"/>
    <n v="20"/>
    <n v="10"/>
    <n v="20"/>
  </r>
  <r>
    <x v="193"/>
    <s v="Fernanda Lima"/>
    <x v="1"/>
    <x v="192"/>
    <x v="0"/>
    <n v="5"/>
    <x v="1"/>
    <x v="1"/>
    <n v="0"/>
    <x v="1"/>
    <n v="0"/>
    <n v="0"/>
    <n v="5"/>
  </r>
  <r>
    <x v="194"/>
    <s v="Gabriel Teixeira"/>
    <x v="0"/>
    <x v="193"/>
    <x v="1"/>
    <n v="15"/>
    <x v="0"/>
    <x v="0"/>
    <n v="30"/>
    <x v="0"/>
    <n v="20"/>
    <n v="20"/>
    <n v="45"/>
  </r>
  <r>
    <x v="195"/>
    <s v="Helena Ribeiro"/>
    <x v="2"/>
    <x v="194"/>
    <x v="0"/>
    <n v="10"/>
    <x v="2"/>
    <x v="1"/>
    <n v="0"/>
    <x v="0"/>
    <n v="20"/>
    <n v="15"/>
    <n v="15"/>
  </r>
  <r>
    <x v="196"/>
    <s v="Igor Mendes"/>
    <x v="1"/>
    <x v="195"/>
    <x v="1"/>
    <n v="5"/>
    <x v="0"/>
    <x v="1"/>
    <n v="0"/>
    <x v="1"/>
    <n v="0"/>
    <n v="1"/>
    <n v="4"/>
  </r>
  <r>
    <x v="197"/>
    <s v="Joana Silveira"/>
    <x v="0"/>
    <x v="196"/>
    <x v="0"/>
    <n v="15"/>
    <x v="1"/>
    <x v="0"/>
    <n v="30"/>
    <x v="0"/>
    <n v="20"/>
    <n v="3"/>
    <n v="62"/>
  </r>
  <r>
    <x v="198"/>
    <s v="Lucas Martins"/>
    <x v="2"/>
    <x v="197"/>
    <x v="1"/>
    <n v="10"/>
    <x v="0"/>
    <x v="1"/>
    <n v="0"/>
    <x v="0"/>
    <n v="20"/>
    <n v="10"/>
    <n v="20"/>
  </r>
  <r>
    <x v="199"/>
    <s v="Marcela Gouveia"/>
    <x v="1"/>
    <x v="198"/>
    <x v="0"/>
    <n v="5"/>
    <x v="2"/>
    <x v="1"/>
    <n v="0"/>
    <x v="1"/>
    <n v="0"/>
    <n v="0"/>
    <n v="5"/>
  </r>
  <r>
    <x v="200"/>
    <s v="Nicolas Borges"/>
    <x v="0"/>
    <x v="199"/>
    <x v="1"/>
    <n v="15"/>
    <x v="0"/>
    <x v="0"/>
    <n v="30"/>
    <x v="0"/>
    <n v="20"/>
    <n v="15"/>
    <n v="50"/>
  </r>
  <r>
    <x v="201"/>
    <s v="Olivia Freitas"/>
    <x v="2"/>
    <x v="200"/>
    <x v="0"/>
    <n v="10"/>
    <x v="1"/>
    <x v="1"/>
    <n v="0"/>
    <x v="0"/>
    <n v="20"/>
    <n v="15"/>
    <n v="15"/>
  </r>
  <r>
    <x v="202"/>
    <s v="Paulo Nogueira"/>
    <x v="1"/>
    <x v="201"/>
    <x v="1"/>
    <n v="5"/>
    <x v="0"/>
    <x v="1"/>
    <n v="0"/>
    <x v="1"/>
    <n v="0"/>
    <n v="1"/>
    <n v="4"/>
  </r>
  <r>
    <x v="203"/>
    <s v="Raquel Andrade"/>
    <x v="0"/>
    <x v="202"/>
    <x v="0"/>
    <n v="15"/>
    <x v="2"/>
    <x v="0"/>
    <n v="30"/>
    <x v="0"/>
    <n v="20"/>
    <n v="7"/>
    <n v="58"/>
  </r>
  <r>
    <x v="204"/>
    <s v="Sônia Carvalho"/>
    <x v="2"/>
    <x v="203"/>
    <x v="1"/>
    <n v="10"/>
    <x v="0"/>
    <x v="1"/>
    <n v="0"/>
    <x v="0"/>
    <n v="20"/>
    <n v="10"/>
    <n v="20"/>
  </r>
  <r>
    <x v="205"/>
    <s v="Tiago Rodrigues"/>
    <x v="1"/>
    <x v="204"/>
    <x v="0"/>
    <n v="5"/>
    <x v="0"/>
    <x v="1"/>
    <n v="0"/>
    <x v="1"/>
    <n v="0"/>
    <n v="0"/>
    <n v="5"/>
  </r>
  <r>
    <x v="206"/>
    <s v="Ursula Monteiro"/>
    <x v="0"/>
    <x v="205"/>
    <x v="1"/>
    <n v="15"/>
    <x v="2"/>
    <x v="0"/>
    <n v="30"/>
    <x v="0"/>
    <n v="20"/>
    <n v="7"/>
    <n v="58"/>
  </r>
  <r>
    <x v="207"/>
    <s v="Vanessa Pereira"/>
    <x v="2"/>
    <x v="206"/>
    <x v="0"/>
    <n v="10"/>
    <x v="1"/>
    <x v="1"/>
    <n v="0"/>
    <x v="0"/>
    <n v="20"/>
    <n v="10"/>
    <n v="20"/>
  </r>
  <r>
    <x v="208"/>
    <s v="Walter Silva"/>
    <x v="1"/>
    <x v="207"/>
    <x v="1"/>
    <n v="5"/>
    <x v="2"/>
    <x v="1"/>
    <n v="0"/>
    <x v="1"/>
    <n v="0"/>
    <n v="1"/>
    <n v="4"/>
  </r>
  <r>
    <x v="209"/>
    <s v="Xavier Almeida"/>
    <x v="0"/>
    <x v="208"/>
    <x v="0"/>
    <n v="15"/>
    <x v="0"/>
    <x v="0"/>
    <n v="30"/>
    <x v="0"/>
    <n v="20"/>
    <n v="15"/>
    <n v="50"/>
  </r>
  <r>
    <x v="210"/>
    <s v="Yasmine Correia"/>
    <x v="2"/>
    <x v="209"/>
    <x v="1"/>
    <n v="10"/>
    <x v="0"/>
    <x v="1"/>
    <n v="0"/>
    <x v="0"/>
    <n v="20"/>
    <n v="5"/>
    <n v="25"/>
  </r>
  <r>
    <x v="211"/>
    <s v="Zacarias Almeida"/>
    <x v="1"/>
    <x v="210"/>
    <x v="0"/>
    <n v="5"/>
    <x v="1"/>
    <x v="1"/>
    <n v="0"/>
    <x v="1"/>
    <n v="0"/>
    <n v="0"/>
    <n v="5"/>
  </r>
  <r>
    <x v="212"/>
    <s v="Amanda Costa"/>
    <x v="0"/>
    <x v="211"/>
    <x v="1"/>
    <n v="15"/>
    <x v="2"/>
    <x v="0"/>
    <n v="30"/>
    <x v="0"/>
    <n v="20"/>
    <n v="20"/>
    <n v="45"/>
  </r>
  <r>
    <x v="213"/>
    <s v="Bruno Ferreira"/>
    <x v="2"/>
    <x v="212"/>
    <x v="0"/>
    <n v="10"/>
    <x v="2"/>
    <x v="1"/>
    <n v="0"/>
    <x v="0"/>
    <n v="20"/>
    <n v="12"/>
    <n v="18"/>
  </r>
  <r>
    <x v="214"/>
    <s v="Carla Dias"/>
    <x v="1"/>
    <x v="213"/>
    <x v="1"/>
    <n v="5"/>
    <x v="0"/>
    <x v="1"/>
    <n v="0"/>
    <x v="1"/>
    <n v="0"/>
    <n v="2"/>
    <n v="3"/>
  </r>
  <r>
    <x v="215"/>
    <s v="Diogo Martins"/>
    <x v="0"/>
    <x v="214"/>
    <x v="0"/>
    <n v="15"/>
    <x v="1"/>
    <x v="0"/>
    <n v="30"/>
    <x v="0"/>
    <n v="20"/>
    <n v="5"/>
    <n v="60"/>
  </r>
  <r>
    <x v="216"/>
    <s v="Elisa Campos"/>
    <x v="2"/>
    <x v="215"/>
    <x v="1"/>
    <n v="10"/>
    <x v="0"/>
    <x v="1"/>
    <n v="0"/>
    <x v="0"/>
    <n v="20"/>
    <n v="10"/>
    <n v="20"/>
  </r>
  <r>
    <x v="217"/>
    <s v="Fabiana Lima"/>
    <x v="1"/>
    <x v="216"/>
    <x v="0"/>
    <n v="5"/>
    <x v="2"/>
    <x v="1"/>
    <n v="0"/>
    <x v="1"/>
    <n v="0"/>
    <n v="0"/>
    <n v="5"/>
  </r>
  <r>
    <x v="218"/>
    <s v="Gabriel Santos"/>
    <x v="0"/>
    <x v="217"/>
    <x v="1"/>
    <n v="15"/>
    <x v="0"/>
    <x v="0"/>
    <n v="30"/>
    <x v="0"/>
    <n v="20"/>
    <n v="3"/>
    <n v="62"/>
  </r>
  <r>
    <x v="219"/>
    <s v="Helena Ferreira"/>
    <x v="2"/>
    <x v="218"/>
    <x v="0"/>
    <n v="10"/>
    <x v="1"/>
    <x v="1"/>
    <n v="0"/>
    <x v="0"/>
    <n v="20"/>
    <n v="15"/>
    <n v="15"/>
  </r>
  <r>
    <x v="220"/>
    <s v="Ígor Nunes"/>
    <x v="1"/>
    <x v="219"/>
    <x v="1"/>
    <n v="5"/>
    <x v="0"/>
    <x v="1"/>
    <n v="0"/>
    <x v="1"/>
    <n v="0"/>
    <n v="1"/>
    <n v="4"/>
  </r>
  <r>
    <x v="221"/>
    <s v="Joana Silveira"/>
    <x v="0"/>
    <x v="220"/>
    <x v="0"/>
    <n v="15"/>
    <x v="2"/>
    <x v="0"/>
    <n v="30"/>
    <x v="0"/>
    <n v="20"/>
    <n v="7"/>
    <n v="58"/>
  </r>
  <r>
    <x v="222"/>
    <s v="Kléber Oliveira"/>
    <x v="2"/>
    <x v="221"/>
    <x v="1"/>
    <n v="10"/>
    <x v="0"/>
    <x v="1"/>
    <n v="0"/>
    <x v="0"/>
    <n v="20"/>
    <n v="10"/>
    <n v="20"/>
  </r>
  <r>
    <x v="223"/>
    <s v="Luciana Morais"/>
    <x v="1"/>
    <x v="222"/>
    <x v="0"/>
    <n v="5"/>
    <x v="1"/>
    <x v="1"/>
    <n v="0"/>
    <x v="1"/>
    <n v="0"/>
    <n v="0"/>
    <n v="5"/>
  </r>
  <r>
    <x v="224"/>
    <s v="Marcos Vinícius"/>
    <x v="0"/>
    <x v="223"/>
    <x v="1"/>
    <n v="15"/>
    <x v="0"/>
    <x v="0"/>
    <n v="30"/>
    <x v="0"/>
    <n v="20"/>
    <n v="20"/>
    <n v="45"/>
  </r>
  <r>
    <x v="225"/>
    <s v="Natália Barros"/>
    <x v="2"/>
    <x v="224"/>
    <x v="0"/>
    <n v="10"/>
    <x v="2"/>
    <x v="1"/>
    <n v="0"/>
    <x v="0"/>
    <n v="20"/>
    <n v="15"/>
    <n v="15"/>
  </r>
  <r>
    <x v="226"/>
    <s v="Oscar Sampaio"/>
    <x v="1"/>
    <x v="225"/>
    <x v="1"/>
    <n v="5"/>
    <x v="0"/>
    <x v="1"/>
    <n v="0"/>
    <x v="1"/>
    <n v="0"/>
    <n v="1"/>
    <n v="4"/>
  </r>
  <r>
    <x v="227"/>
    <s v="Patrícia Leite"/>
    <x v="0"/>
    <x v="226"/>
    <x v="0"/>
    <n v="15"/>
    <x v="1"/>
    <x v="0"/>
    <n v="30"/>
    <x v="0"/>
    <n v="20"/>
    <n v="3"/>
    <n v="62"/>
  </r>
  <r>
    <x v="228"/>
    <s v="Quênia Rocha"/>
    <x v="2"/>
    <x v="227"/>
    <x v="1"/>
    <n v="10"/>
    <x v="0"/>
    <x v="1"/>
    <n v="0"/>
    <x v="0"/>
    <n v="20"/>
    <n v="10"/>
    <n v="20"/>
  </r>
  <r>
    <x v="229"/>
    <s v="Rafael Torres"/>
    <x v="1"/>
    <x v="228"/>
    <x v="0"/>
    <n v="5"/>
    <x v="2"/>
    <x v="1"/>
    <n v="0"/>
    <x v="1"/>
    <n v="0"/>
    <n v="0"/>
    <n v="5"/>
  </r>
  <r>
    <x v="230"/>
    <s v="Sandra Gouveia"/>
    <x v="0"/>
    <x v="229"/>
    <x v="1"/>
    <n v="15"/>
    <x v="0"/>
    <x v="0"/>
    <n v="30"/>
    <x v="0"/>
    <n v="20"/>
    <n v="15"/>
    <n v="50"/>
  </r>
  <r>
    <x v="231"/>
    <s v="Tiago Lacerda"/>
    <x v="2"/>
    <x v="230"/>
    <x v="0"/>
    <n v="10"/>
    <x v="1"/>
    <x v="1"/>
    <n v="0"/>
    <x v="0"/>
    <n v="20"/>
    <n v="15"/>
    <n v="15"/>
  </r>
  <r>
    <x v="232"/>
    <s v="Ursula Fonseca"/>
    <x v="1"/>
    <x v="231"/>
    <x v="1"/>
    <n v="5"/>
    <x v="0"/>
    <x v="1"/>
    <n v="0"/>
    <x v="1"/>
    <n v="0"/>
    <n v="1"/>
    <n v="4"/>
  </r>
  <r>
    <x v="233"/>
    <s v="Vanessa Andrade"/>
    <x v="0"/>
    <x v="232"/>
    <x v="0"/>
    <n v="15"/>
    <x v="2"/>
    <x v="0"/>
    <n v="30"/>
    <x v="0"/>
    <n v="20"/>
    <n v="7"/>
    <n v="58"/>
  </r>
  <r>
    <x v="234"/>
    <s v="William Castro"/>
    <x v="2"/>
    <x v="233"/>
    <x v="1"/>
    <n v="10"/>
    <x v="0"/>
    <x v="1"/>
    <n v="0"/>
    <x v="0"/>
    <n v="20"/>
    <n v="10"/>
    <n v="20"/>
  </r>
  <r>
    <x v="235"/>
    <s v="Xavier Monteiro"/>
    <x v="1"/>
    <x v="234"/>
    <x v="0"/>
    <n v="5"/>
    <x v="1"/>
    <x v="1"/>
    <n v="0"/>
    <x v="1"/>
    <n v="0"/>
    <n v="0"/>
    <n v="5"/>
  </r>
  <r>
    <x v="236"/>
    <s v="Yasmin Figueira"/>
    <x v="0"/>
    <x v="235"/>
    <x v="1"/>
    <n v="15"/>
    <x v="0"/>
    <x v="0"/>
    <n v="30"/>
    <x v="0"/>
    <n v="20"/>
    <n v="15"/>
    <n v="50"/>
  </r>
  <r>
    <x v="237"/>
    <s v="Zacarias Mendonça"/>
    <x v="2"/>
    <x v="236"/>
    <x v="0"/>
    <n v="10"/>
    <x v="2"/>
    <x v="1"/>
    <n v="0"/>
    <x v="0"/>
    <n v="20"/>
    <n v="12"/>
    <n v="18"/>
  </r>
  <r>
    <x v="238"/>
    <s v="Amanda Menezes"/>
    <x v="1"/>
    <x v="237"/>
    <x v="1"/>
    <n v="5"/>
    <x v="0"/>
    <x v="1"/>
    <n v="0"/>
    <x v="1"/>
    <n v="0"/>
    <n v="2"/>
    <n v="3"/>
  </r>
  <r>
    <x v="239"/>
    <s v="Bruno Santos"/>
    <x v="0"/>
    <x v="238"/>
    <x v="0"/>
    <n v="15"/>
    <x v="1"/>
    <x v="0"/>
    <n v="30"/>
    <x v="0"/>
    <n v="20"/>
    <n v="5"/>
    <n v="60"/>
  </r>
  <r>
    <x v="240"/>
    <s v="Carla Ferreira"/>
    <x v="2"/>
    <x v="239"/>
    <x v="1"/>
    <n v="10"/>
    <x v="0"/>
    <x v="1"/>
    <n v="0"/>
    <x v="0"/>
    <n v="20"/>
    <n v="10"/>
    <n v="20"/>
  </r>
  <r>
    <x v="241"/>
    <s v="Diogo Alves"/>
    <x v="1"/>
    <x v="240"/>
    <x v="0"/>
    <n v="5"/>
    <x v="2"/>
    <x v="1"/>
    <n v="0"/>
    <x v="1"/>
    <n v="0"/>
    <n v="0"/>
    <n v="5"/>
  </r>
  <r>
    <x v="242"/>
    <s v="Elisa Neves"/>
    <x v="0"/>
    <x v="241"/>
    <x v="1"/>
    <n v="15"/>
    <x v="0"/>
    <x v="0"/>
    <n v="30"/>
    <x v="0"/>
    <n v="20"/>
    <n v="3"/>
    <n v="62"/>
  </r>
  <r>
    <x v="243"/>
    <s v="Fabiano Pires"/>
    <x v="2"/>
    <x v="242"/>
    <x v="0"/>
    <n v="10"/>
    <x v="1"/>
    <x v="1"/>
    <n v="0"/>
    <x v="0"/>
    <n v="20"/>
    <n v="15"/>
    <n v="15"/>
  </r>
  <r>
    <x v="244"/>
    <s v="Giovana Ribeiro"/>
    <x v="1"/>
    <x v="243"/>
    <x v="1"/>
    <n v="5"/>
    <x v="0"/>
    <x v="1"/>
    <n v="0"/>
    <x v="1"/>
    <n v="0"/>
    <n v="1"/>
    <n v="4"/>
  </r>
  <r>
    <x v="245"/>
    <s v="Hélio Costa"/>
    <x v="0"/>
    <x v="244"/>
    <x v="0"/>
    <n v="15"/>
    <x v="2"/>
    <x v="0"/>
    <n v="30"/>
    <x v="0"/>
    <n v="20"/>
    <n v="7"/>
    <n v="58"/>
  </r>
  <r>
    <x v="246"/>
    <s v="Íris Loureiro"/>
    <x v="2"/>
    <x v="245"/>
    <x v="1"/>
    <n v="10"/>
    <x v="0"/>
    <x v="1"/>
    <n v="0"/>
    <x v="0"/>
    <n v="20"/>
    <n v="10"/>
    <n v="20"/>
  </r>
  <r>
    <x v="247"/>
    <s v="João Pereira"/>
    <x v="1"/>
    <x v="246"/>
    <x v="0"/>
    <n v="5"/>
    <x v="1"/>
    <x v="1"/>
    <n v="0"/>
    <x v="1"/>
    <n v="0"/>
    <n v="0"/>
    <n v="5"/>
  </r>
  <r>
    <x v="248"/>
    <s v="Klara Silva"/>
    <x v="0"/>
    <x v="247"/>
    <x v="1"/>
    <n v="15"/>
    <x v="0"/>
    <x v="0"/>
    <n v="30"/>
    <x v="0"/>
    <n v="20"/>
    <n v="20"/>
    <n v="45"/>
  </r>
  <r>
    <x v="249"/>
    <s v="Luciana Barros"/>
    <x v="2"/>
    <x v="248"/>
    <x v="0"/>
    <n v="10"/>
    <x v="2"/>
    <x v="1"/>
    <n v="0"/>
    <x v="0"/>
    <n v="20"/>
    <n v="15"/>
    <n v="15"/>
  </r>
  <r>
    <x v="250"/>
    <s v="Marcos Gomes"/>
    <x v="1"/>
    <x v="249"/>
    <x v="1"/>
    <n v="5"/>
    <x v="0"/>
    <x v="1"/>
    <n v="0"/>
    <x v="1"/>
    <n v="0"/>
    <n v="1"/>
    <n v="4"/>
  </r>
  <r>
    <x v="251"/>
    <s v="Natália Soares"/>
    <x v="0"/>
    <x v="250"/>
    <x v="0"/>
    <n v="15"/>
    <x v="1"/>
    <x v="0"/>
    <n v="30"/>
    <x v="0"/>
    <n v="20"/>
    <n v="3"/>
    <n v="62"/>
  </r>
  <r>
    <x v="252"/>
    <s v="Oscar Machado"/>
    <x v="2"/>
    <x v="251"/>
    <x v="1"/>
    <n v="10"/>
    <x v="0"/>
    <x v="1"/>
    <n v="0"/>
    <x v="0"/>
    <n v="20"/>
    <n v="10"/>
    <n v="20"/>
  </r>
  <r>
    <x v="253"/>
    <s v="Patrícia Lima"/>
    <x v="1"/>
    <x v="252"/>
    <x v="0"/>
    <n v="5"/>
    <x v="2"/>
    <x v="1"/>
    <n v="0"/>
    <x v="1"/>
    <n v="0"/>
    <n v="0"/>
    <n v="5"/>
  </r>
  <r>
    <x v="254"/>
    <s v="Quirino Neto"/>
    <x v="0"/>
    <x v="253"/>
    <x v="1"/>
    <n v="15"/>
    <x v="0"/>
    <x v="0"/>
    <n v="30"/>
    <x v="0"/>
    <n v="20"/>
    <n v="15"/>
    <n v="50"/>
  </r>
  <r>
    <x v="255"/>
    <s v="Rafaela Souza"/>
    <x v="1"/>
    <x v="254"/>
    <x v="0"/>
    <n v="5"/>
    <x v="0"/>
    <x v="1"/>
    <n v="0"/>
    <x v="1"/>
    <n v="0"/>
    <n v="0"/>
    <n v="5"/>
  </r>
  <r>
    <x v="256"/>
    <s v="Sandro Almeida"/>
    <x v="0"/>
    <x v="255"/>
    <x v="1"/>
    <n v="15"/>
    <x v="2"/>
    <x v="0"/>
    <n v="30"/>
    <x v="0"/>
    <n v="20"/>
    <n v="7"/>
    <n v="58"/>
  </r>
  <r>
    <x v="257"/>
    <s v="Tânia Ribeiro"/>
    <x v="2"/>
    <x v="256"/>
    <x v="0"/>
    <n v="10"/>
    <x v="1"/>
    <x v="1"/>
    <n v="0"/>
    <x v="0"/>
    <n v="20"/>
    <n v="10"/>
    <n v="20"/>
  </r>
  <r>
    <x v="258"/>
    <s v="Ugo Dias"/>
    <x v="1"/>
    <x v="257"/>
    <x v="1"/>
    <n v="5"/>
    <x v="2"/>
    <x v="1"/>
    <n v="0"/>
    <x v="1"/>
    <n v="0"/>
    <n v="1"/>
    <n v="4"/>
  </r>
  <r>
    <x v="259"/>
    <s v="Valéria Lima"/>
    <x v="0"/>
    <x v="258"/>
    <x v="0"/>
    <n v="15"/>
    <x v="0"/>
    <x v="0"/>
    <n v="30"/>
    <x v="0"/>
    <n v="20"/>
    <n v="15"/>
    <n v="50"/>
  </r>
  <r>
    <x v="260"/>
    <s v="William Fernandes"/>
    <x v="2"/>
    <x v="259"/>
    <x v="1"/>
    <n v="10"/>
    <x v="0"/>
    <x v="1"/>
    <n v="0"/>
    <x v="0"/>
    <n v="20"/>
    <n v="5"/>
    <n v="25"/>
  </r>
  <r>
    <x v="261"/>
    <s v="Xuxa Mendes"/>
    <x v="1"/>
    <x v="260"/>
    <x v="0"/>
    <n v="5"/>
    <x v="1"/>
    <x v="1"/>
    <n v="0"/>
    <x v="1"/>
    <n v="0"/>
    <n v="0"/>
    <n v="5"/>
  </r>
  <r>
    <x v="262"/>
    <s v="Ygor Farias"/>
    <x v="0"/>
    <x v="261"/>
    <x v="1"/>
    <n v="15"/>
    <x v="2"/>
    <x v="0"/>
    <n v="30"/>
    <x v="0"/>
    <n v="20"/>
    <n v="20"/>
    <n v="45"/>
  </r>
  <r>
    <x v="263"/>
    <s v="Zilda Barros"/>
    <x v="2"/>
    <x v="262"/>
    <x v="0"/>
    <n v="10"/>
    <x v="2"/>
    <x v="1"/>
    <n v="0"/>
    <x v="0"/>
    <n v="20"/>
    <n v="12"/>
    <n v="18"/>
  </r>
  <r>
    <x v="264"/>
    <s v="Amanda Santos"/>
    <x v="1"/>
    <x v="263"/>
    <x v="1"/>
    <n v="5"/>
    <x v="0"/>
    <x v="1"/>
    <n v="0"/>
    <x v="1"/>
    <n v="0"/>
    <n v="2"/>
    <n v="3"/>
  </r>
  <r>
    <x v="265"/>
    <s v="Bruno Costa"/>
    <x v="0"/>
    <x v="264"/>
    <x v="0"/>
    <n v="15"/>
    <x v="1"/>
    <x v="0"/>
    <n v="30"/>
    <x v="0"/>
    <n v="20"/>
    <n v="5"/>
    <n v="60"/>
  </r>
  <r>
    <x v="266"/>
    <s v="Carla Rodrigues"/>
    <x v="2"/>
    <x v="265"/>
    <x v="1"/>
    <n v="10"/>
    <x v="0"/>
    <x v="1"/>
    <n v="0"/>
    <x v="0"/>
    <n v="20"/>
    <n v="10"/>
    <n v="20"/>
  </r>
  <r>
    <x v="267"/>
    <s v="Diogo Pereira"/>
    <x v="1"/>
    <x v="266"/>
    <x v="0"/>
    <n v="5"/>
    <x v="2"/>
    <x v="1"/>
    <n v="0"/>
    <x v="1"/>
    <n v="0"/>
    <n v="0"/>
    <n v="5"/>
  </r>
  <r>
    <x v="268"/>
    <s v="Elisa Correia"/>
    <x v="0"/>
    <x v="267"/>
    <x v="1"/>
    <n v="15"/>
    <x v="0"/>
    <x v="0"/>
    <n v="30"/>
    <x v="0"/>
    <n v="20"/>
    <n v="3"/>
    <n v="62"/>
  </r>
  <r>
    <x v="269"/>
    <s v="Fábio Lourenço"/>
    <x v="2"/>
    <x v="268"/>
    <x v="0"/>
    <n v="10"/>
    <x v="1"/>
    <x v="1"/>
    <n v="0"/>
    <x v="0"/>
    <n v="20"/>
    <n v="15"/>
    <n v="15"/>
  </r>
  <r>
    <x v="270"/>
    <s v="Gabriela Neves"/>
    <x v="1"/>
    <x v="269"/>
    <x v="1"/>
    <n v="5"/>
    <x v="0"/>
    <x v="1"/>
    <n v="0"/>
    <x v="1"/>
    <n v="0"/>
    <n v="1"/>
    <n v="4"/>
  </r>
  <r>
    <x v="271"/>
    <s v="Henrique Gonçalves"/>
    <x v="0"/>
    <x v="270"/>
    <x v="0"/>
    <n v="15"/>
    <x v="2"/>
    <x v="0"/>
    <n v="30"/>
    <x v="0"/>
    <n v="20"/>
    <n v="7"/>
    <n v="58"/>
  </r>
  <r>
    <x v="272"/>
    <s v="Íris Santos"/>
    <x v="2"/>
    <x v="271"/>
    <x v="1"/>
    <n v="10"/>
    <x v="0"/>
    <x v="1"/>
    <n v="0"/>
    <x v="0"/>
    <n v="20"/>
    <n v="10"/>
    <n v="20"/>
  </r>
  <r>
    <x v="273"/>
    <s v="João Marcelo Alves"/>
    <x v="1"/>
    <x v="272"/>
    <x v="0"/>
    <n v="5"/>
    <x v="1"/>
    <x v="1"/>
    <n v="0"/>
    <x v="1"/>
    <n v="0"/>
    <n v="0"/>
    <n v="5"/>
  </r>
  <r>
    <x v="274"/>
    <s v="Klara Fonseca"/>
    <x v="0"/>
    <x v="273"/>
    <x v="1"/>
    <n v="15"/>
    <x v="0"/>
    <x v="0"/>
    <n v="30"/>
    <x v="0"/>
    <n v="20"/>
    <n v="20"/>
    <n v="45"/>
  </r>
  <r>
    <x v="275"/>
    <s v="Lucas Mendonça"/>
    <x v="2"/>
    <x v="274"/>
    <x v="0"/>
    <n v="10"/>
    <x v="2"/>
    <x v="1"/>
    <n v="0"/>
    <x v="0"/>
    <n v="20"/>
    <n v="15"/>
    <n v="15"/>
  </r>
  <r>
    <x v="276"/>
    <s v="Marcela Torres"/>
    <x v="1"/>
    <x v="275"/>
    <x v="1"/>
    <n v="5"/>
    <x v="0"/>
    <x v="1"/>
    <n v="0"/>
    <x v="1"/>
    <n v="0"/>
    <n v="1"/>
    <n v="4"/>
  </r>
  <r>
    <x v="277"/>
    <s v="Natália Castro"/>
    <x v="0"/>
    <x v="276"/>
    <x v="0"/>
    <n v="15"/>
    <x v="1"/>
    <x v="0"/>
    <n v="30"/>
    <x v="0"/>
    <n v="20"/>
    <n v="3"/>
    <n v="62"/>
  </r>
  <r>
    <x v="278"/>
    <s v="Oscar Martins"/>
    <x v="2"/>
    <x v="277"/>
    <x v="1"/>
    <n v="10"/>
    <x v="0"/>
    <x v="1"/>
    <n v="0"/>
    <x v="0"/>
    <n v="20"/>
    <n v="10"/>
    <n v="20"/>
  </r>
  <r>
    <x v="279"/>
    <s v="Patrícia Oliveira"/>
    <x v="1"/>
    <x v="278"/>
    <x v="0"/>
    <n v="5"/>
    <x v="2"/>
    <x v="1"/>
    <n v="0"/>
    <x v="1"/>
    <n v="0"/>
    <n v="0"/>
    <n v="5"/>
  </r>
  <r>
    <x v="280"/>
    <s v="Quentin Nogueira"/>
    <x v="0"/>
    <x v="279"/>
    <x v="1"/>
    <n v="15"/>
    <x v="0"/>
    <x v="0"/>
    <n v="30"/>
    <x v="0"/>
    <n v="20"/>
    <n v="15"/>
    <n v="50"/>
  </r>
  <r>
    <x v="281"/>
    <s v="Raquel Silva"/>
    <x v="2"/>
    <x v="280"/>
    <x v="0"/>
    <n v="10"/>
    <x v="1"/>
    <x v="1"/>
    <n v="0"/>
    <x v="0"/>
    <n v="20"/>
    <n v="15"/>
    <n v="15"/>
  </r>
  <r>
    <x v="282"/>
    <s v="Sandro Gomes"/>
    <x v="1"/>
    <x v="281"/>
    <x v="1"/>
    <n v="5"/>
    <x v="0"/>
    <x v="1"/>
    <n v="0"/>
    <x v="1"/>
    <n v="0"/>
    <n v="1"/>
    <n v="4"/>
  </r>
  <r>
    <x v="283"/>
    <s v="Tânia Machado"/>
    <x v="0"/>
    <x v="282"/>
    <x v="0"/>
    <n v="15"/>
    <x v="2"/>
    <x v="0"/>
    <n v="30"/>
    <x v="0"/>
    <n v="20"/>
    <n v="7"/>
    <n v="58"/>
  </r>
  <r>
    <x v="284"/>
    <s v="Ursula Silva"/>
    <x v="2"/>
    <x v="283"/>
    <x v="1"/>
    <n v="10"/>
    <x v="0"/>
    <x v="1"/>
    <n v="0"/>
    <x v="0"/>
    <n v="20"/>
    <n v="10"/>
    <n v="20"/>
  </r>
  <r>
    <x v="285"/>
    <s v="Vanessa Moraes"/>
    <x v="1"/>
    <x v="284"/>
    <x v="0"/>
    <n v="5"/>
    <x v="1"/>
    <x v="1"/>
    <n v="0"/>
    <x v="1"/>
    <n v="0"/>
    <n v="0"/>
    <n v="5"/>
  </r>
  <r>
    <x v="286"/>
    <s v="William Carvalho"/>
    <x v="0"/>
    <x v="285"/>
    <x v="1"/>
    <n v="15"/>
    <x v="0"/>
    <x v="0"/>
    <n v="30"/>
    <x v="0"/>
    <n v="20"/>
    <n v="20"/>
    <n v="45"/>
  </r>
  <r>
    <x v="287"/>
    <s v="Xavier Reis"/>
    <x v="2"/>
    <x v="286"/>
    <x v="0"/>
    <n v="10"/>
    <x v="2"/>
    <x v="1"/>
    <n v="0"/>
    <x v="0"/>
    <n v="20"/>
    <n v="12"/>
    <n v="18"/>
  </r>
  <r>
    <x v="288"/>
    <s v="Yasmin Rocha"/>
    <x v="1"/>
    <x v="287"/>
    <x v="1"/>
    <n v="5"/>
    <x v="0"/>
    <x v="1"/>
    <n v="0"/>
    <x v="1"/>
    <n v="0"/>
    <n v="2"/>
    <n v="3"/>
  </r>
  <r>
    <x v="289"/>
    <s v="Zacarias Duarte"/>
    <x v="0"/>
    <x v="288"/>
    <x v="0"/>
    <n v="15"/>
    <x v="1"/>
    <x v="0"/>
    <n v="30"/>
    <x v="0"/>
    <n v="20"/>
    <n v="5"/>
    <n v="60"/>
  </r>
  <r>
    <x v="290"/>
    <s v="Amanda Freitas"/>
    <x v="2"/>
    <x v="289"/>
    <x v="1"/>
    <n v="10"/>
    <x v="0"/>
    <x v="1"/>
    <n v="0"/>
    <x v="0"/>
    <n v="20"/>
    <n v="10"/>
    <n v="20"/>
  </r>
  <r>
    <x v="291"/>
    <s v="Bruno Almeida"/>
    <x v="1"/>
    <x v="290"/>
    <x v="0"/>
    <n v="5"/>
    <x v="2"/>
    <x v="1"/>
    <n v="0"/>
    <x v="1"/>
    <n v="0"/>
    <n v="0"/>
    <n v="5"/>
  </r>
  <r>
    <x v="292"/>
    <s v="Carla Siqueira"/>
    <x v="0"/>
    <x v="291"/>
    <x v="1"/>
    <n v="15"/>
    <x v="0"/>
    <x v="0"/>
    <n v="30"/>
    <x v="0"/>
    <n v="20"/>
    <n v="3"/>
    <n v="62"/>
  </r>
  <r>
    <x v="293"/>
    <s v="Diogo Ramos"/>
    <x v="2"/>
    <x v="292"/>
    <x v="0"/>
    <n v="10"/>
    <x v="1"/>
    <x v="1"/>
    <n v="0"/>
    <x v="0"/>
    <n v="20"/>
    <n v="15"/>
    <n v="15"/>
  </r>
  <r>
    <x v="294"/>
    <s v="Elisa Magalhães"/>
    <x v="1"/>
    <x v="293"/>
    <x v="1"/>
    <n v="5"/>
    <x v="0"/>
    <x v="1"/>
    <n v="0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53F00-5B9C-4EAE-99A6-27938DD05F6A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56:F61" firstHeaderRow="1" firstDataRow="2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Col" showAll="0">
      <items count="3">
        <item n="Não" x="1"/>
        <item n="Sim" x="0"/>
        <item t="default"/>
      </items>
    </pivotField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ntagem de Subscriber ID" fld="0" subtotal="count" baseField="2" baseItem="0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chartFormats count="2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E07E7-EDA5-4693-B438-A052ECE58DF8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1:G26" firstHeaderRow="1" firstDataRow="2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Col"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ntagem de Subscriber ID" fld="0" subtotal="count" baseField="2" baseItem="0"/>
  </dataFields>
  <formats count="2">
    <format dxfId="4">
      <pivotArea collapsedLevelsAreSubtotals="1" fieldPosition="0">
        <references count="1">
          <reference field="2" count="0"/>
        </references>
      </pivotArea>
    </format>
    <format dxfId="3">
      <pivotArea grandRow="1" outline="0" collapsedLevelsAreSubtotals="1" fieldPosition="0"/>
    </format>
  </format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9DA2B-44DD-4C37-88BD-D4E39041D817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4:E18" firstHeaderRow="0" firstDataRow="1" firstDataCol="1"/>
  <pivotFields count="14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 total" fld="12" baseField="0" baseItem="0" numFmtId="164"/>
    <dataField name="Ticket Médio" fld="12" subtotal="average" baseField="2" baseItem="0" numFmtId="16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7D4B7-E8D5-4294-AD9E-D8D76D748165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49:F54" firstHeaderRow="1" firstDataRow="2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axis="axisCol" showAll="0">
      <items count="3">
        <item n="Não" x="1"/>
        <item n="Sim" x="0"/>
        <item t="default"/>
      </items>
    </pivotField>
    <pivotField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agem de Subscriber ID" fld="0" subtotal="count" baseField="2" baseItem="0"/>
  </dataFields>
  <formats count="2">
    <format dxfId="6">
      <pivotArea outline="0" collapsedLevelsAreSubtotals="1" fieldPosition="0"/>
    </format>
    <format dxfId="5">
      <pivotArea dataOnly="0" labelOnly="1" fieldPosition="0">
        <references count="1">
          <reference field="7" count="0"/>
        </references>
      </pivotArea>
    </format>
  </formats>
  <chartFormats count="2"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ABBC0-D691-47D0-A968-FAACC403B7E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7:D11" firstHeaderRow="1" firstDataRow="1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2" baseItem="0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A95BC-D343-4346-A6A7-B551F7CBFAA1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3:D46" firstHeaderRow="1" firstDataRow="1" firstDataCol="1"/>
  <pivotFields count="14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Média de Total Value" fld="12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3B1DB-E8A4-4CF3-93BD-8E41DED96AC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:E4" firstHeaderRow="0" firstDataRow="1" firstDataCol="0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ntagem de Subscriber ID" fld="0" subtotal="count" baseField="0" baseItem="0"/>
    <dataField name="Soma de Total Value" fld="12" baseField="0" baseItem="0" numFmtId="164"/>
    <dataField name="Média de Total Value2" fld="12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76F42-41DD-4BA4-B3B1-2C670835318E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6:F41" firstHeaderRow="1" firstDataRow="2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showAll="0">
      <items count="3">
        <item n="Não" x="1"/>
        <item n="Sim" x="0"/>
        <item t="default"/>
      </items>
    </pivotField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Subscriber ID" fld="0" subtotal="count" baseField="2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C7CB3-6418-4E32-AE73-618B56A9F0EE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C71:D84" firstHeaderRow="1" firstDataRow="1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3">
        <item x="1"/>
        <item x="0"/>
        <item t="default"/>
      </items>
    </pivotField>
    <pivotField numFmtId="164" showAll="0"/>
    <pivotField numFmtId="164" showAll="0"/>
    <pivotField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ubscriber ID" fld="0" subtotal="count" baseField="0" baseItem="0"/>
  </dataFields>
  <formats count="2">
    <format dxfId="9">
      <pivotArea outline="0" collapsedLevelsAreSubtotals="1" fieldPosition="0"/>
    </format>
    <format dxfId="8">
      <pivotArea dataOnly="0" labelOnly="1" grandCol="1" outline="0" fieldPosition="0"/>
    </format>
  </formats>
  <chartFormats count="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7622D-AC0E-4BAF-B244-1EA42B494C0D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C64:E68" firstHeaderRow="0" firstDataRow="1" firstDataCol="1"/>
  <pivotFields count="14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3">
        <item x="1"/>
        <item x="0"/>
        <item t="default"/>
      </items>
    </pivotField>
    <pivotField numFmtId="164" showAll="0"/>
    <pivotField dataField="1"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Total" fld="11" baseField="2" baseItem="0" numFmtId="164"/>
    <dataField name="Valor médio" fld="11" subtotal="average" baseField="2" baseItem="0" numFmtId="164"/>
  </dataFields>
  <formats count="2">
    <format dxfId="11">
      <pivotArea outline="0" collapsedLevelsAreSubtotals="1" fieldPosition="0"/>
    </format>
    <format dxfId="10">
      <pivotArea dataOnly="0" labelOnly="1" grandCol="1" outline="0" fieldPosition="0"/>
    </format>
  </formats>
  <chartFormats count="2"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1F79C-4ABB-41C3-A382-1A276E72C0EA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C29:F34" firstHeaderRow="1" firstDataRow="2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Col" showAll="0">
      <items count="3">
        <item n="Não" x="1"/>
        <item n="Sim"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numFmtId="164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agem de Subscriber ID" fld="0" subtotal="count" baseField="2" baseItem="0"/>
  </dataFields>
  <formats count="1">
    <format dxfId="12">
      <pivotArea collapsedLevelsAreSubtotals="1" fieldPosition="0">
        <references count="1">
          <reference field="2" count="0"/>
        </references>
      </pivotArea>
    </format>
  </formats>
  <chartFormats count="2"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B17C419-EE79-4707-A768-2C1C888FC590}" sourceName="Plan">
  <pivotTables>
    <pivotTable tabId="3" name="Tabela dinâmica3"/>
    <pivotTable tabId="3" name="Tabela dinâmica10"/>
    <pivotTable tabId="3" name="Tabela dinâmica11"/>
    <pivotTable tabId="3" name="Tabela dinâmica12"/>
    <pivotTable tabId="3" name="Tabela dinâmica2"/>
    <pivotTable tabId="3" name="Tabela dinâmica4"/>
    <pivotTable tabId="3" name="Tabela dinâmica5"/>
    <pivotTable tabId="3" name="Tabela dinâmica6"/>
    <pivotTable tabId="3" name="Tabela dinâmica7"/>
    <pivotTable tabId="3" name="Tabela dinâmica8"/>
    <pivotTable tabId="3" name="Tabela dinâmica9"/>
  </pivotTables>
  <data>
    <tabular pivotCacheId="387780769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240FE835-22C3-4638-908D-33513E11B445}" sourceName="Auto Renewal">
  <pivotTables>
    <pivotTable tabId="3" name="Tabela dinâmica3"/>
    <pivotTable tabId="3" name="Tabela dinâmica10"/>
    <pivotTable tabId="3" name="Tabela dinâmica11"/>
    <pivotTable tabId="3" name="Tabela dinâmica12"/>
    <pivotTable tabId="3" name="Tabela dinâmica2"/>
    <pivotTable tabId="3" name="Tabela dinâmica4"/>
    <pivotTable tabId="3" name="Tabela dinâmica5"/>
    <pivotTable tabId="3" name="Tabela dinâmica6"/>
    <pivotTable tabId="3" name="Tabela dinâmica7"/>
    <pivotTable tabId="3" name="Tabela dinâmica8"/>
    <pivotTable tabId="3" name="Tabela dinâmica9"/>
  </pivotTables>
  <data>
    <tabular pivotCacheId="387780769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3676F67-03C2-4AF5-9143-53B022CD4D40}" sourceName="Subscription Type">
  <pivotTables>
    <pivotTable tabId="3" name="Tabela dinâmica3"/>
    <pivotTable tabId="3" name="Tabela dinâmica10"/>
    <pivotTable tabId="3" name="Tabela dinâmica11"/>
    <pivotTable tabId="3" name="Tabela dinâmica12"/>
    <pivotTable tabId="3" name="Tabela dinâmica2"/>
    <pivotTable tabId="3" name="Tabela dinâmica4"/>
    <pivotTable tabId="3" name="Tabela dinâmica5"/>
    <pivotTable tabId="3" name="Tabela dinâmica6"/>
    <pivotTable tabId="3" name="Tabela dinâmica7"/>
    <pivotTable tabId="3" name="Tabela dinâmica8"/>
    <pivotTable tabId="3" name="Tabela dinâmica9"/>
  </pivotTables>
  <data>
    <tabular pivotCacheId="387780769">
      <items count="3"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4F6AF345-08FA-44B7-9D08-41F2CDD09B7A}" sourceName="Meses (Start Date)">
  <pivotTables>
    <pivotTable tabId="3" name="Tabela dinâmica12"/>
    <pivotTable tabId="3" name="Tabela dinâmica10"/>
    <pivotTable tabId="3" name="Tabela dinâmica11"/>
    <pivotTable tabId="3" name="Tabela dinâmica2"/>
    <pivotTable tabId="3" name="Tabela dinâmica3"/>
    <pivotTable tabId="3" name="Tabela dinâmica4"/>
    <pivotTable tabId="3" name="Tabela dinâmica5"/>
    <pivotTable tabId="3" name="Tabela dinâmica6"/>
    <pivotTable tabId="3" name="Tabela dinâmica7"/>
    <pivotTable tabId="3" name="Tabela dinâmica8"/>
    <pivotTable tabId="3" name="Tabela dinâmica9"/>
  </pivotTables>
  <data>
    <tabular pivotCacheId="387780769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3F84BFB5-9438-442F-A3EB-205D51550F55}" cache="SegmentaçãodeDados_Plan" caption="Plan" style="SlicerStyleLight3" rowHeight="257175"/>
  <slicer name="Auto Renewal" xr10:uid="{ED9E102A-8FFD-4E6C-9554-A7239322AE9A}" cache="SegmentaçãodeDados_Auto_Renewal" caption="Auto Renewal" style="SlicerStyleLight3" rowHeight="257175"/>
  <slicer name="Subscription Type" xr10:uid="{8AE43D2D-6DCB-4D5C-B017-EDDFB59945B4}" cache="SegmentaçãodeDados_Subscription_Type" caption="Subscription Type" style="SlicerStyleLight3" rowHeight="257175"/>
  <slicer name="Meses (Start Date)" xr10:uid="{36A0920D-0874-4509-B153-1607037EBCE8}" cache="SegmentaçãodeDados_Meses__Start_Date" caption="Meses (Start Date)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dados" displayName="tbl_dados" ref="A1:M296" totalsRowShown="0" dataDxfId="26">
  <autoFilter ref="A1:M296" xr:uid="{34E0E886-4200-4B36-97B3-63DB74FF40A0}"/>
  <tableColumns count="13">
    <tableColumn id="1" xr3:uid="{C4A90516-688A-46BF-9167-EA16C2A8A652}" name="Subscriber ID" dataDxfId="25"/>
    <tableColumn id="2" xr3:uid="{53DD39D0-2220-4121-9E9D-4EAA7E151C0F}" name="Name" dataDxfId="24"/>
    <tableColumn id="3" xr3:uid="{4F5FF271-4C57-4BE0-8F2C-F82C8551625C}" name="Plan" dataDxfId="23"/>
    <tableColumn id="4" xr3:uid="{8C17EB93-79B9-4E55-B8F7-BEB82F8253E9}" name="Start Date" dataDxfId="22"/>
    <tableColumn id="5" xr3:uid="{48CEDF9B-1689-482A-A828-5CCE7713264A}" name="Auto Renewal" dataDxfId="21"/>
    <tableColumn id="6" xr3:uid="{78B82374-9AA7-4E38-AE4F-78CDE6C83720}" name="Subscription Price" dataDxfId="20" dataCellStyle="Moeda"/>
    <tableColumn id="7" xr3:uid="{F2433F68-AF33-49D0-B1FB-19A396074EDE}" name="Subscription Type" dataDxfId="19"/>
    <tableColumn id="8" xr3:uid="{FD4D9C95-F6E5-4933-9068-A71FF7DF9343}" name="EA Play Season Pass" dataDxfId="18"/>
    <tableColumn id="13" xr3:uid="{978DD0D2-834E-4CE4-A39B-30976086932F}" name="EA Play Season Pass_x000a_Price" dataDxfId="17" dataCellStyle="Moeda"/>
    <tableColumn id="9" xr3:uid="{6E29F111-C395-4580-9DAD-3407D9E8B1A4}" name="Minecraft Season Pass" dataDxfId="16"/>
    <tableColumn id="10" xr3:uid="{EF544EAA-7F25-4FD5-A10E-8E62804DB9E3}" name="Minecraft Season Pass Price" dataDxfId="15" dataCellStyle="Moeda"/>
    <tableColumn id="11" xr3:uid="{7F6EB64A-1F07-4E48-9F0F-AC7D9DCD26F8}" name="Coupon Value" dataDxfId="14" dataCellStyle="Moeda"/>
    <tableColumn id="12" xr3:uid="{2B04ABC8-DE6F-426E-ADC0-D8AFC68CA58E}" name="Total Value" dataDxfId="1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1" sqref="G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>
        <v>0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>
        <v>0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>
        <v>0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>
        <v>0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>
        <v>0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>
        <v>0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>
        <v>0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>
        <v>0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>
        <v>0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>
        <v>0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>
        <v>0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>
        <v>0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>
        <v>0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>
        <v>0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>
        <v>0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>
        <v>0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>
        <v>0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>
        <v>0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>
        <v>0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>
        <v>0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>
        <v>0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>
        <v>0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>
        <v>0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>
        <v>0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>
        <v>0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>
        <v>0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>
        <v>0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>
        <v>0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>
        <v>0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>
        <v>0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>
        <v>0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>
        <v>0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>
        <v>0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>
        <v>0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>
        <v>0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>
        <v>0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>
        <v>0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>
        <v>0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>
        <v>0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>
        <v>0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>
        <v>0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>
        <v>0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>
        <v>0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>
        <v>0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>
        <v>0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>
        <v>0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>
        <v>0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>
        <v>0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>
        <v>0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>
        <v>0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>
        <v>0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>
        <v>0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>
        <v>0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>
        <v>0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>
        <v>0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>
        <v>0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>
        <v>0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>
        <v>0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>
        <v>0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>
        <v>0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>
        <v>0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>
        <v>0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>
        <v>0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>
        <v>0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>
        <v>0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>
        <v>0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>
        <v>0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>
        <v>0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>
        <v>0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>
        <v>0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>
        <v>0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>
        <v>0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>
        <v>0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>
        <v>0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>
        <v>0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>
        <v>0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>
        <v>0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>
        <v>0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>
        <v>0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>
        <v>0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>
        <v>0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>
        <v>0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>
        <v>0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>
        <v>0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>
        <v>0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>
        <v>0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>
        <v>0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>
        <v>0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>
        <v>0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>
        <v>0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>
        <v>0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>
        <v>0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>
        <v>0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>
        <v>0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>
        <v>0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>
        <v>0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>
        <v>0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>
        <v>0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>
        <v>0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>
        <v>0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>
        <v>0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>
        <v>0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>
        <v>0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>
        <v>0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>
        <v>0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>
        <v>0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>
        <v>0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>
        <v>0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>
        <v>0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>
        <v>0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>
        <v>0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>
        <v>0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>
        <v>0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>
        <v>0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>
        <v>0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>
        <v>0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>
        <v>0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>
        <v>0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>
        <v>0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>
        <v>0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>
        <v>0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>
        <v>0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>
        <v>0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>
        <v>0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>
        <v>0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>
        <v>0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>
        <v>0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>
        <v>0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>
        <v>0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>
        <v>0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>
        <v>0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>
        <v>0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>
        <v>0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>
        <v>0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>
        <v>0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>
        <v>0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>
        <v>0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>
        <v>0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>
        <v>0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>
        <v>0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>
        <v>0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>
        <v>0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>
        <v>0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>
        <v>0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>
        <v>0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>
        <v>0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>
        <v>0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>
        <v>0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>
        <v>0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>
        <v>0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>
        <v>0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>
        <v>0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>
        <v>0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>
        <v>0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>
        <v>0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>
        <v>0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>
        <v>0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>
        <v>0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>
        <v>0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>
        <v>0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>
        <v>0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>
        <v>0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>
        <v>0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>
        <v>0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>
        <v>0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>
        <v>0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>
        <v>0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>
        <v>0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>
        <v>0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>
        <v>0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>
        <v>0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>
        <v>0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>
        <v>0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>
        <v>0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>
        <v>0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>
        <v>0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>
        <v>0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>
        <v>0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>
        <v>0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>
        <v>0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>
        <v>0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>
        <v>0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>
        <v>0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>
        <v>0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>
        <v>0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>
        <v>0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>
        <v>0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>
        <v>0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>
        <v>0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>
        <v>0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>
        <v>0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>
        <v>0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>
        <v>0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>
        <v>0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>
        <v>0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>
        <v>0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>
        <v>0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84"/>
  <sheetViews>
    <sheetView showGridLines="0" workbookViewId="0">
      <selection activeCell="A2" sqref="A2"/>
    </sheetView>
  </sheetViews>
  <sheetFormatPr defaultRowHeight="15" x14ac:dyDescent="0.25"/>
  <cols>
    <col min="2" max="2" width="14" style="16" customWidth="1"/>
    <col min="3" max="3" width="26.140625" bestFit="1" customWidth="1"/>
    <col min="4" max="4" width="20.140625" bestFit="1" customWidth="1"/>
    <col min="5" max="5" width="4.42578125" bestFit="1" customWidth="1"/>
    <col min="6" max="7" width="10.7109375" bestFit="1" customWidth="1"/>
    <col min="8" max="8" width="4.28515625" bestFit="1" customWidth="1"/>
    <col min="9" max="9" width="13.28515625" bestFit="1" customWidth="1"/>
    <col min="10" max="10" width="11.28515625" bestFit="1" customWidth="1"/>
    <col min="11" max="11" width="4.28515625" bestFit="1" customWidth="1"/>
    <col min="12" max="12" width="14.42578125" bestFit="1" customWidth="1"/>
    <col min="13" max="13" width="10.7109375" bestFit="1" customWidth="1"/>
    <col min="14" max="14" width="13.7109375" bestFit="1" customWidth="1"/>
    <col min="15" max="15" width="10.7109375" bestFit="1" customWidth="1"/>
    <col min="16" max="297" width="20.140625" bestFit="1" customWidth="1"/>
    <col min="298" max="298" width="10.7109375" bestFit="1" customWidth="1"/>
  </cols>
  <sheetData>
    <row r="2" spans="2:5" x14ac:dyDescent="0.25">
      <c r="B2" s="21" t="s">
        <v>336</v>
      </c>
      <c r="C2" t="s">
        <v>312</v>
      </c>
    </row>
    <row r="3" spans="2:5" x14ac:dyDescent="0.25">
      <c r="B3" s="21"/>
      <c r="C3" t="s">
        <v>316</v>
      </c>
      <c r="D3" t="s">
        <v>317</v>
      </c>
      <c r="E3" t="s">
        <v>318</v>
      </c>
    </row>
    <row r="4" spans="2:5" x14ac:dyDescent="0.25">
      <c r="B4" s="21"/>
      <c r="C4">
        <v>295</v>
      </c>
      <c r="D4" s="13">
        <v>7633</v>
      </c>
      <c r="E4" s="13">
        <v>25.874576271186442</v>
      </c>
    </row>
    <row r="5" spans="2:5" x14ac:dyDescent="0.25">
      <c r="D5" s="13"/>
      <c r="E5" s="13"/>
    </row>
    <row r="6" spans="2:5" x14ac:dyDescent="0.25">
      <c r="B6" s="20" t="s">
        <v>337</v>
      </c>
      <c r="C6" t="s">
        <v>313</v>
      </c>
    </row>
    <row r="7" spans="2:5" x14ac:dyDescent="0.25">
      <c r="B7" s="20"/>
      <c r="C7" s="12" t="s">
        <v>319</v>
      </c>
      <c r="D7" t="s">
        <v>316</v>
      </c>
    </row>
    <row r="8" spans="2:5" x14ac:dyDescent="0.25">
      <c r="B8" s="20"/>
      <c r="C8" s="14" t="s">
        <v>22</v>
      </c>
      <c r="D8">
        <v>101</v>
      </c>
    </row>
    <row r="9" spans="2:5" x14ac:dyDescent="0.25">
      <c r="B9" s="20"/>
      <c r="C9" s="14" t="s">
        <v>26</v>
      </c>
      <c r="D9">
        <v>96</v>
      </c>
    </row>
    <row r="10" spans="2:5" x14ac:dyDescent="0.25">
      <c r="B10" s="20"/>
      <c r="C10" s="14" t="s">
        <v>18</v>
      </c>
      <c r="D10">
        <v>98</v>
      </c>
    </row>
    <row r="11" spans="2:5" x14ac:dyDescent="0.25">
      <c r="B11" s="20"/>
      <c r="C11" s="14" t="s">
        <v>315</v>
      </c>
      <c r="D11">
        <v>295</v>
      </c>
    </row>
    <row r="13" spans="2:5" x14ac:dyDescent="0.25">
      <c r="B13" s="20" t="s">
        <v>339</v>
      </c>
      <c r="C13" t="s">
        <v>320</v>
      </c>
    </row>
    <row r="14" spans="2:5" x14ac:dyDescent="0.25">
      <c r="B14" s="20"/>
      <c r="C14" s="12" t="s">
        <v>319</v>
      </c>
      <c r="D14" t="s">
        <v>350</v>
      </c>
      <c r="E14" t="s">
        <v>351</v>
      </c>
    </row>
    <row r="15" spans="2:5" x14ac:dyDescent="0.25">
      <c r="B15" s="20"/>
      <c r="C15" s="14" t="s">
        <v>22</v>
      </c>
      <c r="D15" s="13">
        <v>444</v>
      </c>
      <c r="E15" s="13">
        <v>4.3960396039603964</v>
      </c>
    </row>
    <row r="16" spans="2:5" x14ac:dyDescent="0.25">
      <c r="B16" s="20"/>
      <c r="C16" s="14" t="s">
        <v>26</v>
      </c>
      <c r="D16" s="13">
        <v>1801</v>
      </c>
      <c r="E16" s="13">
        <v>18.760416666666668</v>
      </c>
    </row>
    <row r="17" spans="2:7" x14ac:dyDescent="0.25">
      <c r="B17" s="20"/>
      <c r="C17" s="14" t="s">
        <v>18</v>
      </c>
      <c r="D17" s="13">
        <v>5388</v>
      </c>
      <c r="E17" s="13">
        <v>54.979591836734691</v>
      </c>
    </row>
    <row r="18" spans="2:7" x14ac:dyDescent="0.25">
      <c r="B18" s="20"/>
      <c r="C18" s="14" t="s">
        <v>315</v>
      </c>
      <c r="D18" s="13">
        <v>7633</v>
      </c>
      <c r="E18" s="13">
        <v>25.874576271186442</v>
      </c>
    </row>
    <row r="20" spans="2:7" ht="15" customHeight="1" x14ac:dyDescent="0.25">
      <c r="B20" s="20" t="s">
        <v>338</v>
      </c>
      <c r="C20" t="s">
        <v>321</v>
      </c>
    </row>
    <row r="21" spans="2:7" x14ac:dyDescent="0.25">
      <c r="B21" s="20"/>
      <c r="C21" s="12" t="s">
        <v>316</v>
      </c>
      <c r="D21" s="12" t="s">
        <v>314</v>
      </c>
    </row>
    <row r="22" spans="2:7" x14ac:dyDescent="0.25">
      <c r="B22" s="20"/>
      <c r="C22" s="12" t="s">
        <v>319</v>
      </c>
      <c r="D22" t="s">
        <v>24</v>
      </c>
      <c r="E22" t="s">
        <v>20</v>
      </c>
      <c r="F22" t="s">
        <v>27</v>
      </c>
      <c r="G22" t="s">
        <v>315</v>
      </c>
    </row>
    <row r="23" spans="2:7" x14ac:dyDescent="0.25">
      <c r="B23" s="20"/>
      <c r="C23" s="14" t="s">
        <v>22</v>
      </c>
      <c r="D23" s="15">
        <v>24</v>
      </c>
      <c r="E23" s="15">
        <v>49</v>
      </c>
      <c r="F23" s="15">
        <v>28</v>
      </c>
      <c r="G23" s="15">
        <v>101</v>
      </c>
    </row>
    <row r="24" spans="2:7" x14ac:dyDescent="0.25">
      <c r="B24" s="20"/>
      <c r="C24" s="14" t="s">
        <v>26</v>
      </c>
      <c r="D24" s="15">
        <v>27</v>
      </c>
      <c r="E24" s="15">
        <v>45</v>
      </c>
      <c r="F24" s="15">
        <v>24</v>
      </c>
      <c r="G24" s="15">
        <v>96</v>
      </c>
    </row>
    <row r="25" spans="2:7" x14ac:dyDescent="0.25">
      <c r="B25" s="20"/>
      <c r="C25" s="14" t="s">
        <v>18</v>
      </c>
      <c r="D25" s="15">
        <v>20</v>
      </c>
      <c r="E25" s="15">
        <v>45</v>
      </c>
      <c r="F25" s="15">
        <v>33</v>
      </c>
      <c r="G25" s="15">
        <v>98</v>
      </c>
    </row>
    <row r="26" spans="2:7" x14ac:dyDescent="0.25">
      <c r="B26" s="20"/>
      <c r="C26" s="14" t="s">
        <v>315</v>
      </c>
      <c r="D26" s="15">
        <v>71</v>
      </c>
      <c r="E26" s="15">
        <v>139</v>
      </c>
      <c r="F26" s="15">
        <v>85</v>
      </c>
      <c r="G26" s="15">
        <v>295</v>
      </c>
    </row>
    <row r="28" spans="2:7" x14ac:dyDescent="0.25">
      <c r="B28" s="20" t="s">
        <v>340</v>
      </c>
      <c r="C28" t="s">
        <v>322</v>
      </c>
    </row>
    <row r="29" spans="2:7" x14ac:dyDescent="0.25">
      <c r="B29" s="20"/>
      <c r="C29" s="12" t="s">
        <v>316</v>
      </c>
      <c r="D29" s="12" t="s">
        <v>314</v>
      </c>
    </row>
    <row r="30" spans="2:7" x14ac:dyDescent="0.25">
      <c r="B30" s="20"/>
      <c r="C30" s="12" t="s">
        <v>319</v>
      </c>
      <c r="D30" t="s">
        <v>353</v>
      </c>
      <c r="E30" t="s">
        <v>352</v>
      </c>
      <c r="F30" t="s">
        <v>315</v>
      </c>
    </row>
    <row r="31" spans="2:7" x14ac:dyDescent="0.25">
      <c r="B31" s="20"/>
      <c r="C31" s="14" t="s">
        <v>22</v>
      </c>
      <c r="D31" s="15">
        <v>50</v>
      </c>
      <c r="E31" s="15">
        <v>51</v>
      </c>
      <c r="F31" s="15">
        <v>101</v>
      </c>
    </row>
    <row r="32" spans="2:7" x14ac:dyDescent="0.25">
      <c r="B32" s="20"/>
      <c r="C32" s="14" t="s">
        <v>26</v>
      </c>
      <c r="D32" s="15">
        <v>47</v>
      </c>
      <c r="E32" s="15">
        <v>49</v>
      </c>
      <c r="F32" s="15">
        <v>96</v>
      </c>
    </row>
    <row r="33" spans="2:6" x14ac:dyDescent="0.25">
      <c r="B33" s="20"/>
      <c r="C33" s="14" t="s">
        <v>18</v>
      </c>
      <c r="D33" s="15">
        <v>50</v>
      </c>
      <c r="E33" s="15">
        <v>48</v>
      </c>
      <c r="F33" s="15">
        <v>98</v>
      </c>
    </row>
    <row r="34" spans="2:6" x14ac:dyDescent="0.25">
      <c r="B34" s="20"/>
      <c r="C34" s="14" t="s">
        <v>315</v>
      </c>
      <c r="D34">
        <v>147</v>
      </c>
      <c r="E34">
        <v>148</v>
      </c>
      <c r="F34">
        <v>295</v>
      </c>
    </row>
    <row r="36" spans="2:6" x14ac:dyDescent="0.25">
      <c r="B36" s="20" t="s">
        <v>341</v>
      </c>
      <c r="C36" s="12" t="s">
        <v>316</v>
      </c>
      <c r="D36" s="12" t="s">
        <v>314</v>
      </c>
    </row>
    <row r="37" spans="2:6" x14ac:dyDescent="0.25">
      <c r="B37" s="20"/>
      <c r="C37" s="12" t="s">
        <v>319</v>
      </c>
      <c r="D37" t="s">
        <v>353</v>
      </c>
      <c r="E37" t="s">
        <v>352</v>
      </c>
      <c r="F37" t="s">
        <v>315</v>
      </c>
    </row>
    <row r="38" spans="2:6" x14ac:dyDescent="0.25">
      <c r="B38" s="20"/>
      <c r="C38" s="14" t="s">
        <v>24</v>
      </c>
      <c r="D38" s="15">
        <v>11</v>
      </c>
      <c r="E38" s="15">
        <v>60</v>
      </c>
      <c r="F38" s="15">
        <v>71</v>
      </c>
    </row>
    <row r="39" spans="2:6" x14ac:dyDescent="0.25">
      <c r="B39" s="20"/>
      <c r="C39" s="14" t="s">
        <v>20</v>
      </c>
      <c r="D39" s="15">
        <v>111</v>
      </c>
      <c r="E39" s="15">
        <v>28</v>
      </c>
      <c r="F39" s="15">
        <v>139</v>
      </c>
    </row>
    <row r="40" spans="2:6" x14ac:dyDescent="0.25">
      <c r="B40" s="20"/>
      <c r="C40" s="14" t="s">
        <v>27</v>
      </c>
      <c r="D40" s="15">
        <v>25</v>
      </c>
      <c r="E40" s="15">
        <v>60</v>
      </c>
      <c r="F40" s="15">
        <v>85</v>
      </c>
    </row>
    <row r="41" spans="2:6" x14ac:dyDescent="0.25">
      <c r="B41" s="20"/>
      <c r="C41" s="14" t="s">
        <v>315</v>
      </c>
      <c r="D41">
        <v>147</v>
      </c>
      <c r="E41">
        <v>148</v>
      </c>
      <c r="F41">
        <v>295</v>
      </c>
    </row>
    <row r="43" spans="2:6" x14ac:dyDescent="0.25">
      <c r="B43" s="20" t="s">
        <v>342</v>
      </c>
      <c r="C43" s="12" t="s">
        <v>319</v>
      </c>
      <c r="D43" t="s">
        <v>335</v>
      </c>
    </row>
    <row r="44" spans="2:6" x14ac:dyDescent="0.25">
      <c r="B44" s="20"/>
      <c r="C44" s="14" t="s">
        <v>23</v>
      </c>
      <c r="D44" s="13">
        <v>26.170068027210885</v>
      </c>
    </row>
    <row r="45" spans="2:6" x14ac:dyDescent="0.25">
      <c r="B45" s="20"/>
      <c r="C45" s="14" t="s">
        <v>19</v>
      </c>
      <c r="D45" s="13">
        <v>25.581081081081081</v>
      </c>
    </row>
    <row r="46" spans="2:6" x14ac:dyDescent="0.25">
      <c r="B46" s="20"/>
      <c r="C46" s="14" t="s">
        <v>315</v>
      </c>
      <c r="D46" s="13">
        <v>25.874576271186442</v>
      </c>
    </row>
    <row r="48" spans="2:6" x14ac:dyDescent="0.25">
      <c r="C48" t="s">
        <v>347</v>
      </c>
    </row>
    <row r="49" spans="2:6" ht="15" customHeight="1" x14ac:dyDescent="0.25">
      <c r="B49" s="20" t="s">
        <v>343</v>
      </c>
      <c r="C49" s="12" t="s">
        <v>316</v>
      </c>
      <c r="D49" s="12" t="s">
        <v>314</v>
      </c>
    </row>
    <row r="50" spans="2:6" x14ac:dyDescent="0.25">
      <c r="B50" s="20"/>
      <c r="C50" s="12" t="s">
        <v>319</v>
      </c>
      <c r="D50" s="15" t="s">
        <v>353</v>
      </c>
      <c r="E50" s="15" t="s">
        <v>352</v>
      </c>
      <c r="F50" t="s">
        <v>315</v>
      </c>
    </row>
    <row r="51" spans="2:6" x14ac:dyDescent="0.25">
      <c r="B51" s="20"/>
      <c r="C51" s="14" t="s">
        <v>22</v>
      </c>
      <c r="D51" s="15">
        <v>101</v>
      </c>
      <c r="E51" s="15"/>
      <c r="F51" s="15">
        <v>101</v>
      </c>
    </row>
    <row r="52" spans="2:6" x14ac:dyDescent="0.25">
      <c r="B52" s="20"/>
      <c r="C52" s="14" t="s">
        <v>26</v>
      </c>
      <c r="D52" s="15">
        <v>96</v>
      </c>
      <c r="E52" s="15"/>
      <c r="F52" s="15">
        <v>96</v>
      </c>
    </row>
    <row r="53" spans="2:6" x14ac:dyDescent="0.25">
      <c r="B53" s="20"/>
      <c r="C53" s="14" t="s">
        <v>18</v>
      </c>
      <c r="D53" s="15"/>
      <c r="E53" s="15">
        <v>98</v>
      </c>
      <c r="F53" s="15">
        <v>98</v>
      </c>
    </row>
    <row r="54" spans="2:6" x14ac:dyDescent="0.25">
      <c r="B54" s="20"/>
      <c r="C54" s="14" t="s">
        <v>315</v>
      </c>
      <c r="D54" s="15">
        <v>197</v>
      </c>
      <c r="E54" s="15">
        <v>98</v>
      </c>
      <c r="F54" s="15">
        <v>295</v>
      </c>
    </row>
    <row r="56" spans="2:6" x14ac:dyDescent="0.25">
      <c r="B56" s="20" t="s">
        <v>344</v>
      </c>
      <c r="C56" s="12" t="s">
        <v>316</v>
      </c>
      <c r="D56" s="12" t="s">
        <v>314</v>
      </c>
    </row>
    <row r="57" spans="2:6" x14ac:dyDescent="0.25">
      <c r="B57" s="20"/>
      <c r="C57" s="12" t="s">
        <v>319</v>
      </c>
      <c r="D57" s="15" t="s">
        <v>353</v>
      </c>
      <c r="E57" s="15" t="s">
        <v>352</v>
      </c>
      <c r="F57" s="15" t="s">
        <v>315</v>
      </c>
    </row>
    <row r="58" spans="2:6" x14ac:dyDescent="0.25">
      <c r="B58" s="20"/>
      <c r="C58" s="14" t="s">
        <v>22</v>
      </c>
      <c r="D58" s="15">
        <v>101</v>
      </c>
      <c r="E58" s="15"/>
      <c r="F58" s="15">
        <v>101</v>
      </c>
    </row>
    <row r="59" spans="2:6" x14ac:dyDescent="0.25">
      <c r="B59" s="20"/>
      <c r="C59" s="14" t="s">
        <v>26</v>
      </c>
      <c r="D59" s="15"/>
      <c r="E59" s="15">
        <v>96</v>
      </c>
      <c r="F59" s="15">
        <v>96</v>
      </c>
    </row>
    <row r="60" spans="2:6" x14ac:dyDescent="0.25">
      <c r="B60" s="20"/>
      <c r="C60" s="14" t="s">
        <v>18</v>
      </c>
      <c r="D60" s="15"/>
      <c r="E60" s="15">
        <v>98</v>
      </c>
      <c r="F60" s="15">
        <v>98</v>
      </c>
    </row>
    <row r="61" spans="2:6" x14ac:dyDescent="0.25">
      <c r="B61" s="20"/>
      <c r="C61" s="14" t="s">
        <v>315</v>
      </c>
      <c r="D61" s="15">
        <v>101</v>
      </c>
      <c r="E61" s="15">
        <v>194</v>
      </c>
      <c r="F61" s="15">
        <v>295</v>
      </c>
    </row>
    <row r="63" spans="2:6" x14ac:dyDescent="0.25">
      <c r="C63" s="14" t="s">
        <v>348</v>
      </c>
    </row>
    <row r="64" spans="2:6" ht="15" customHeight="1" x14ac:dyDescent="0.25">
      <c r="B64" s="20" t="s">
        <v>345</v>
      </c>
      <c r="C64" s="12" t="s">
        <v>319</v>
      </c>
      <c r="D64" t="s">
        <v>355</v>
      </c>
      <c r="E64" t="s">
        <v>354</v>
      </c>
    </row>
    <row r="65" spans="2:5" x14ac:dyDescent="0.25">
      <c r="B65" s="20"/>
      <c r="C65" s="14" t="s">
        <v>22</v>
      </c>
      <c r="D65" s="18">
        <v>61</v>
      </c>
      <c r="E65" s="18">
        <v>0.60396039603960394</v>
      </c>
    </row>
    <row r="66" spans="2:5" x14ac:dyDescent="0.25">
      <c r="B66" s="20"/>
      <c r="C66" s="14" t="s">
        <v>26</v>
      </c>
      <c r="D66" s="18">
        <v>1079</v>
      </c>
      <c r="E66" s="18">
        <v>11.239583333333334</v>
      </c>
    </row>
    <row r="67" spans="2:5" x14ac:dyDescent="0.25">
      <c r="B67" s="20"/>
      <c r="C67" s="14" t="s">
        <v>18</v>
      </c>
      <c r="D67" s="18">
        <v>982</v>
      </c>
      <c r="E67" s="18">
        <v>10.020408163265307</v>
      </c>
    </row>
    <row r="68" spans="2:5" x14ac:dyDescent="0.25">
      <c r="B68" s="20"/>
      <c r="C68" s="14" t="s">
        <v>315</v>
      </c>
      <c r="D68" s="18">
        <v>2122</v>
      </c>
      <c r="E68" s="18">
        <v>7.1932203389830507</v>
      </c>
    </row>
    <row r="69" spans="2:5" x14ac:dyDescent="0.25">
      <c r="B69" s="17"/>
    </row>
    <row r="70" spans="2:5" x14ac:dyDescent="0.25">
      <c r="B70" s="17"/>
      <c r="C70" t="s">
        <v>349</v>
      </c>
    </row>
    <row r="71" spans="2:5" x14ac:dyDescent="0.25">
      <c r="B71" s="20" t="s">
        <v>346</v>
      </c>
      <c r="C71" s="12" t="s">
        <v>319</v>
      </c>
      <c r="D71" s="15" t="s">
        <v>316</v>
      </c>
    </row>
    <row r="72" spans="2:5" x14ac:dyDescent="0.25">
      <c r="B72" s="20"/>
      <c r="C72" s="14" t="s">
        <v>323</v>
      </c>
      <c r="D72" s="15">
        <v>2</v>
      </c>
    </row>
    <row r="73" spans="2:5" x14ac:dyDescent="0.25">
      <c r="B73" s="20"/>
      <c r="C73" s="14" t="s">
        <v>334</v>
      </c>
      <c r="D73" s="15">
        <v>2</v>
      </c>
    </row>
    <row r="74" spans="2:5" x14ac:dyDescent="0.25">
      <c r="B74" s="20"/>
      <c r="C74" s="14" t="s">
        <v>324</v>
      </c>
      <c r="D74" s="15">
        <v>31</v>
      </c>
    </row>
    <row r="75" spans="2:5" x14ac:dyDescent="0.25">
      <c r="B75" s="20"/>
      <c r="C75" s="14" t="s">
        <v>325</v>
      </c>
      <c r="D75" s="15">
        <v>30</v>
      </c>
    </row>
    <row r="76" spans="2:5" x14ac:dyDescent="0.25">
      <c r="C76" s="14" t="s">
        <v>326</v>
      </c>
      <c r="D76" s="15">
        <v>31</v>
      </c>
    </row>
    <row r="77" spans="2:5" x14ac:dyDescent="0.25">
      <c r="C77" s="14" t="s">
        <v>327</v>
      </c>
      <c r="D77" s="15">
        <v>30</v>
      </c>
    </row>
    <row r="78" spans="2:5" x14ac:dyDescent="0.25">
      <c r="C78" s="14" t="s">
        <v>328</v>
      </c>
      <c r="D78" s="15">
        <v>31</v>
      </c>
    </row>
    <row r="79" spans="2:5" x14ac:dyDescent="0.25">
      <c r="C79" s="14" t="s">
        <v>329</v>
      </c>
      <c r="D79" s="15">
        <v>31</v>
      </c>
    </row>
    <row r="80" spans="2:5" x14ac:dyDescent="0.25">
      <c r="C80" s="14" t="s">
        <v>330</v>
      </c>
      <c r="D80" s="15">
        <v>30</v>
      </c>
    </row>
    <row r="81" spans="3:4" x14ac:dyDescent="0.25">
      <c r="C81" s="14" t="s">
        <v>331</v>
      </c>
      <c r="D81" s="15">
        <v>31</v>
      </c>
    </row>
    <row r="82" spans="3:4" x14ac:dyDescent="0.25">
      <c r="C82" s="14" t="s">
        <v>332</v>
      </c>
      <c r="D82" s="15">
        <v>30</v>
      </c>
    </row>
    <row r="83" spans="3:4" x14ac:dyDescent="0.25">
      <c r="C83" s="14" t="s">
        <v>333</v>
      </c>
      <c r="D83" s="15">
        <v>16</v>
      </c>
    </row>
    <row r="84" spans="3:4" x14ac:dyDescent="0.25">
      <c r="C84" s="14" t="s">
        <v>315</v>
      </c>
      <c r="D84" s="15">
        <v>295</v>
      </c>
    </row>
  </sheetData>
  <mergeCells count="11">
    <mergeCell ref="B2:B4"/>
    <mergeCell ref="B6:B11"/>
    <mergeCell ref="B13:B18"/>
    <mergeCell ref="B20:B26"/>
    <mergeCell ref="B28:B34"/>
    <mergeCell ref="B71:B75"/>
    <mergeCell ref="B36:B41"/>
    <mergeCell ref="B43:B46"/>
    <mergeCell ref="B49:B54"/>
    <mergeCell ref="B56:B61"/>
    <mergeCell ref="B64:B68"/>
  </mergeCells>
  <pageMargins left="0.511811024" right="0.511811024" top="0.78740157499999996" bottom="0.78740157499999996" header="0.31496062000000002" footer="0.31496062000000002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J53"/>
  <sheetViews>
    <sheetView showGridLines="0" showRowColHeaders="0" tabSelected="1" zoomScaleNormal="100" workbookViewId="0">
      <selection activeCell="V57" sqref="V57"/>
    </sheetView>
  </sheetViews>
  <sheetFormatPr defaultRowHeight="15" x14ac:dyDescent="0.25"/>
  <cols>
    <col min="1" max="1" width="31.85546875" style="4" customWidth="1"/>
    <col min="2" max="2" width="3.5703125" customWidth="1"/>
    <col min="12" max="12" width="6.5703125" customWidth="1"/>
    <col min="27" max="27" width="14.7109375" customWidth="1"/>
  </cols>
  <sheetData>
    <row r="2" spans="2:36" ht="39" customHeight="1" thickBot="1" x14ac:dyDescent="0.3">
      <c r="C2" s="19" t="s">
        <v>356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2:36" ht="7.5" customHeight="1" thickTop="1" x14ac:dyDescent="0.25"/>
    <row r="4" spans="2:36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2:36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2:36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2:36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2:36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2:3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2:36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2:3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2:36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2:3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2:36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2:3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2:36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2:36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2:3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2:36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2:36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2:3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2:36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2:3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2:36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36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2:36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</sheetData>
  <mergeCells count="1">
    <mergeCell ref="C2:AA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Tiago Lacerda</cp:lastModifiedBy>
  <dcterms:created xsi:type="dcterms:W3CDTF">2024-12-19T13:13:10Z</dcterms:created>
  <dcterms:modified xsi:type="dcterms:W3CDTF">2026-10-27T01:56:00Z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